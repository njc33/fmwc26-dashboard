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cer\OneDrive\Desktop\"/>
    </mc:Choice>
  </mc:AlternateContent>
  <xr:revisionPtr revIDLastSave="0" documentId="8_{3324688D-9ACE-4BFC-84A9-99E4603CFC64}" xr6:coauthVersionLast="47" xr6:coauthVersionMax="47" xr10:uidLastSave="{00000000-0000-0000-0000-000000000000}"/>
  <bookViews>
    <workbookView xWindow="24" yWindow="2040" windowWidth="23016" windowHeight="12360" xr2:uid="{B8026406-35EC-4A85-9635-F0F385229E22}"/>
  </bookViews>
  <sheets>
    <sheet name="fmwc" sheetId="1" r:id="rId1"/>
    <sheet name="fmwc_w" sheetId="3" r:id="rId2"/>
    <sheet name="annex c" sheetId="5" r:id="rId3"/>
    <sheet name="mcws" sheetId="2" r:id="rId4"/>
  </sheets>
  <definedNames>
    <definedName name="_xlnm._FilterDatabase" localSheetId="2" hidden="1">'annex c'!$C$5:$J$500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3" i="3" l="1"/>
  <c r="Q16" i="1"/>
  <c r="AL85" i="1"/>
  <c r="AL82" i="1"/>
  <c r="AL79" i="1"/>
  <c r="AL78" i="1"/>
  <c r="AL77" i="1"/>
  <c r="AL76" i="1"/>
  <c r="AL75" i="1"/>
  <c r="AL72" i="1"/>
  <c r="E47" i="3"/>
  <c r="E50" i="3"/>
  <c r="D50" i="3"/>
  <c r="C50" i="3"/>
  <c r="E49" i="3"/>
  <c r="D49" i="3"/>
  <c r="C49" i="3"/>
  <c r="E48" i="3"/>
  <c r="D48" i="3"/>
  <c r="C48" i="3"/>
  <c r="D47" i="3"/>
  <c r="C47" i="3"/>
  <c r="E34" i="3"/>
  <c r="D34" i="3"/>
  <c r="C34" i="3"/>
  <c r="D33" i="3"/>
  <c r="C33" i="3"/>
  <c r="E32" i="3"/>
  <c r="D32" i="3"/>
  <c r="C32" i="3"/>
  <c r="E31" i="3"/>
  <c r="D31" i="3"/>
  <c r="C31" i="3"/>
  <c r="C16" i="3"/>
  <c r="D16" i="3"/>
  <c r="E16" i="3"/>
  <c r="C17" i="3"/>
  <c r="D17" i="3"/>
  <c r="E17" i="3"/>
  <c r="C18" i="3"/>
  <c r="D18" i="3"/>
  <c r="E18" i="3"/>
  <c r="E15" i="3"/>
  <c r="D15" i="3"/>
  <c r="C15" i="3"/>
  <c r="E46" i="3"/>
  <c r="D46" i="3"/>
  <c r="C46" i="3"/>
  <c r="E45" i="3"/>
  <c r="D45" i="3"/>
  <c r="C45" i="3"/>
  <c r="E44" i="3"/>
  <c r="D44" i="3"/>
  <c r="C44" i="3"/>
  <c r="E43" i="3"/>
  <c r="D43" i="3"/>
  <c r="C43" i="3"/>
  <c r="E30" i="3"/>
  <c r="D30" i="3"/>
  <c r="C30" i="3"/>
  <c r="E29" i="3"/>
  <c r="D29" i="3"/>
  <c r="C29" i="3"/>
  <c r="E28" i="3"/>
  <c r="D28" i="3"/>
  <c r="C28" i="3"/>
  <c r="E27" i="3"/>
  <c r="D27" i="3"/>
  <c r="C27" i="3"/>
  <c r="C12" i="3"/>
  <c r="D12" i="3"/>
  <c r="E12" i="3"/>
  <c r="C13" i="3"/>
  <c r="D13" i="3"/>
  <c r="E13" i="3"/>
  <c r="C14" i="3"/>
  <c r="D14" i="3"/>
  <c r="E14" i="3"/>
  <c r="E11" i="3"/>
  <c r="D11" i="3"/>
  <c r="C11" i="3"/>
  <c r="E42" i="3"/>
  <c r="D42" i="3"/>
  <c r="C42" i="3"/>
  <c r="E41" i="3"/>
  <c r="D41" i="3"/>
  <c r="C41" i="3"/>
  <c r="E40" i="3"/>
  <c r="D40" i="3"/>
  <c r="C40" i="3"/>
  <c r="E39" i="3"/>
  <c r="D39" i="3"/>
  <c r="C39" i="3"/>
  <c r="E26" i="3"/>
  <c r="D26" i="3"/>
  <c r="C26" i="3"/>
  <c r="E25" i="3"/>
  <c r="D25" i="3"/>
  <c r="C25" i="3"/>
  <c r="E24" i="3"/>
  <c r="D24" i="3"/>
  <c r="C24" i="3"/>
  <c r="E23" i="3"/>
  <c r="D23" i="3"/>
  <c r="C23" i="3"/>
  <c r="C8" i="3"/>
  <c r="D8" i="3"/>
  <c r="E8" i="3"/>
  <c r="C10" i="3"/>
  <c r="D10" i="3"/>
  <c r="E10" i="3"/>
  <c r="E7" i="3"/>
  <c r="D7" i="3"/>
  <c r="C7" i="3"/>
  <c r="E38" i="3"/>
  <c r="D38" i="3"/>
  <c r="C38" i="3"/>
  <c r="E37" i="3"/>
  <c r="D37" i="3"/>
  <c r="C37" i="3"/>
  <c r="E36" i="3"/>
  <c r="D36" i="3"/>
  <c r="C36" i="3"/>
  <c r="E35" i="3"/>
  <c r="D35" i="3"/>
  <c r="C35" i="3"/>
  <c r="E22" i="3"/>
  <c r="D22" i="3"/>
  <c r="C22" i="3"/>
  <c r="E21" i="3"/>
  <c r="D21" i="3"/>
  <c r="C21" i="3"/>
  <c r="E20" i="3"/>
  <c r="D20" i="3"/>
  <c r="C20" i="3"/>
  <c r="E19" i="3"/>
  <c r="D19" i="3"/>
  <c r="C19" i="3"/>
  <c r="C4" i="3"/>
  <c r="D4" i="3"/>
  <c r="E4" i="3"/>
  <c r="C5" i="3"/>
  <c r="D5" i="3"/>
  <c r="E5" i="3"/>
  <c r="C6" i="3"/>
  <c r="D6" i="3"/>
  <c r="E6" i="3"/>
  <c r="E3" i="3"/>
  <c r="D3" i="3"/>
  <c r="C3" i="3"/>
  <c r="E9" i="3"/>
  <c r="C9" i="3"/>
  <c r="D9" i="3"/>
  <c r="J43" i="3" l="1" a="1"/>
  <c r="J43" i="3" s="1"/>
  <c r="J18" i="3" a="1"/>
  <c r="J18" i="3" s="1"/>
  <c r="J28" i="3" a="1"/>
  <c r="J28" i="3" s="1"/>
  <c r="N28" i="3" s="1"/>
  <c r="J40" i="3" a="1"/>
  <c r="J40" i="3" s="1"/>
  <c r="N40" i="3" s="1"/>
  <c r="J45" i="3" a="1"/>
  <c r="J45" i="3" s="1"/>
  <c r="N45" i="3" s="1"/>
  <c r="J27" i="3" a="1"/>
  <c r="J27" i="3" s="1"/>
  <c r="N27" i="3" s="1"/>
  <c r="J25" i="3" a="1"/>
  <c r="J25" i="3" s="1"/>
  <c r="N25" i="3" s="1"/>
  <c r="J26" i="3" a="1"/>
  <c r="J26" i="3" s="1"/>
  <c r="N26" i="3" s="1"/>
  <c r="J49" i="3" a="1"/>
  <c r="J49" i="3" s="1"/>
  <c r="N49" i="3" s="1"/>
  <c r="J7" i="3" a="1"/>
  <c r="J7" i="3" s="1"/>
  <c r="N7" i="3" s="1"/>
  <c r="J33" i="3" a="1"/>
  <c r="J33" i="3" s="1"/>
  <c r="N33" i="3" s="1"/>
  <c r="J44" i="3" a="1"/>
  <c r="J44" i="3" s="1"/>
  <c r="N44" i="3" s="1"/>
  <c r="J47" i="3" a="1"/>
  <c r="J47" i="3" s="1"/>
  <c r="N47" i="3" s="1"/>
  <c r="J15" i="3" a="1"/>
  <c r="J15" i="3" s="1"/>
  <c r="N15" i="3" s="1"/>
  <c r="J17" i="3" a="1"/>
  <c r="J17" i="3" s="1"/>
  <c r="N17" i="3" s="1"/>
  <c r="J39" i="3" a="1"/>
  <c r="J39" i="3" s="1"/>
  <c r="N39" i="3" s="1"/>
  <c r="J3" i="3" a="1"/>
  <c r="J3" i="3" s="1"/>
  <c r="N3" i="3" s="1"/>
  <c r="J10" i="3" a="1"/>
  <c r="J10" i="3" s="1"/>
  <c r="N10" i="3" s="1"/>
  <c r="J20" i="3" a="1"/>
  <c r="J20" i="3" s="1"/>
  <c r="N20" i="3" s="1"/>
  <c r="J42" i="3" a="1"/>
  <c r="J42" i="3" s="1"/>
  <c r="N42" i="3" s="1"/>
  <c r="J21" i="3" a="1"/>
  <c r="J21" i="3" s="1"/>
  <c r="N21" i="3" s="1"/>
  <c r="J30" i="3" a="1"/>
  <c r="J30" i="3" s="1"/>
  <c r="N30" i="3" s="1"/>
  <c r="J19" i="3" a="1"/>
  <c r="J19" i="3" s="1"/>
  <c r="N19" i="3" s="1"/>
  <c r="J29" i="3" a="1"/>
  <c r="J29" i="3" s="1"/>
  <c r="N29" i="3" s="1"/>
  <c r="J37" i="3" a="1"/>
  <c r="J37" i="3" s="1"/>
  <c r="N37" i="3" s="1"/>
  <c r="J48" i="3" a="1"/>
  <c r="J48" i="3" s="1"/>
  <c r="N48" i="3" s="1"/>
  <c r="J5" i="3" a="1"/>
  <c r="J5" i="3" s="1"/>
  <c r="N5" i="3" s="1"/>
  <c r="J24" i="3" a="1"/>
  <c r="J24" i="3" s="1"/>
  <c r="N24" i="3" s="1"/>
  <c r="J32" i="3" a="1"/>
  <c r="J32" i="3" s="1"/>
  <c r="N32" i="3" s="1"/>
  <c r="J4" i="3" a="1"/>
  <c r="J4" i="3" s="1"/>
  <c r="N4" i="3" s="1"/>
  <c r="J23" i="3" a="1"/>
  <c r="J23" i="3" s="1"/>
  <c r="N23" i="3" s="1"/>
  <c r="J36" i="3" a="1"/>
  <c r="J36" i="3" s="1"/>
  <c r="N36" i="3" s="1"/>
  <c r="J38" i="3" a="1"/>
  <c r="J38" i="3" s="1"/>
  <c r="N38" i="3" s="1"/>
  <c r="J22" i="3" a="1"/>
  <c r="J22" i="3" s="1"/>
  <c r="N22" i="3" s="1"/>
  <c r="J6" i="3" a="1"/>
  <c r="J6" i="3" s="1"/>
  <c r="N6" i="3" s="1"/>
  <c r="J8" i="3" a="1"/>
  <c r="J8" i="3" s="1"/>
  <c r="N8" i="3" s="1"/>
  <c r="J46" i="3" a="1"/>
  <c r="J46" i="3" s="1"/>
  <c r="N46" i="3" s="1"/>
  <c r="J41" i="3" a="1"/>
  <c r="J41" i="3" s="1"/>
  <c r="N41" i="3" s="1"/>
  <c r="J14" i="3" a="1"/>
  <c r="J14" i="3" s="1"/>
  <c r="N14" i="3" s="1"/>
  <c r="J31" i="3" a="1"/>
  <c r="J31" i="3" s="1"/>
  <c r="N31" i="3" s="1"/>
  <c r="J34" i="3" a="1"/>
  <c r="J34" i="3" s="1"/>
  <c r="N34" i="3" s="1"/>
  <c r="J13" i="3" a="1"/>
  <c r="J13" i="3" s="1"/>
  <c r="N13" i="3" s="1"/>
  <c r="J9" i="3" a="1"/>
  <c r="J9" i="3" s="1"/>
  <c r="N9" i="3" s="1"/>
  <c r="J11" i="3" a="1"/>
  <c r="J11" i="3" s="1"/>
  <c r="N11" i="3" s="1"/>
  <c r="J12" i="3" a="1"/>
  <c r="J12" i="3" s="1"/>
  <c r="N12" i="3" s="1"/>
  <c r="J16" i="3" a="1"/>
  <c r="J16" i="3" s="1"/>
  <c r="N16" i="3" s="1"/>
  <c r="J50" i="3" a="1"/>
  <c r="J50" i="3" s="1"/>
  <c r="N50" i="3" s="1"/>
  <c r="J35" i="3" a="1"/>
  <c r="J35" i="3" s="1"/>
  <c r="N35" i="3" s="1"/>
  <c r="K18" i="3" l="1" a="1"/>
  <c r="K18" i="3" s="1"/>
  <c r="N32" i="1" s="1"/>
  <c r="N18" i="3"/>
  <c r="K43" i="3" a="1"/>
  <c r="K43" i="3" s="1"/>
  <c r="N57" i="1" s="1"/>
  <c r="N43" i="3"/>
  <c r="M43" i="3"/>
  <c r="I57" i="1"/>
  <c r="O57" i="1" s="1"/>
  <c r="L43" i="3"/>
  <c r="L18" i="3"/>
  <c r="M18" i="3"/>
  <c r="I32" i="1"/>
  <c r="K21" i="3" a="1"/>
  <c r="K21" i="3" s="1"/>
  <c r="N35" i="1" s="1"/>
  <c r="M21" i="3"/>
  <c r="I35" i="1"/>
  <c r="L21" i="3"/>
  <c r="L42" i="3"/>
  <c r="I56" i="1"/>
  <c r="O56" i="1" s="1"/>
  <c r="M42" i="3"/>
  <c r="K42" i="3" a="1"/>
  <c r="K42" i="3" s="1"/>
  <c r="N56" i="1" s="1"/>
  <c r="M20" i="3"/>
  <c r="K20" i="3" a="1"/>
  <c r="K20" i="3" s="1"/>
  <c r="N34" i="1" s="1"/>
  <c r="L20" i="3"/>
  <c r="I34" i="1"/>
  <c r="I24" i="1"/>
  <c r="M10" i="3"/>
  <c r="K10" i="3" a="1"/>
  <c r="K10" i="3" s="1"/>
  <c r="N24" i="1" s="1"/>
  <c r="L10" i="3"/>
  <c r="L3" i="3"/>
  <c r="M3" i="3"/>
  <c r="I17" i="1"/>
  <c r="K3" i="3" a="1"/>
  <c r="K3" i="3" s="1"/>
  <c r="N17" i="1" s="1"/>
  <c r="I53" i="1"/>
  <c r="O53" i="1" s="1"/>
  <c r="L39" i="3"/>
  <c r="M39" i="3"/>
  <c r="K39" i="3" a="1"/>
  <c r="K39" i="3" s="1"/>
  <c r="N53" i="1" s="1"/>
  <c r="I31" i="1"/>
  <c r="L17" i="3"/>
  <c r="M17" i="3"/>
  <c r="K17" i="3" a="1"/>
  <c r="K17" i="3" s="1"/>
  <c r="N31" i="1" s="1"/>
  <c r="M16" i="3"/>
  <c r="K16" i="3" a="1"/>
  <c r="K16" i="3" s="1"/>
  <c r="N30" i="1" s="1"/>
  <c r="I30" i="1"/>
  <c r="L16" i="3"/>
  <c r="M47" i="3"/>
  <c r="L47" i="3"/>
  <c r="I61" i="1"/>
  <c r="O61" i="1" s="1"/>
  <c r="K47" i="3" a="1"/>
  <c r="K47" i="3" s="1"/>
  <c r="N61" i="1" s="1"/>
  <c r="M44" i="3"/>
  <c r="K44" i="3" a="1"/>
  <c r="K44" i="3" s="1"/>
  <c r="N58" i="1" s="1"/>
  <c r="I58" i="1"/>
  <c r="O58" i="1" s="1"/>
  <c r="L44" i="3"/>
  <c r="I47" i="1"/>
  <c r="M33" i="3"/>
  <c r="L33" i="3"/>
  <c r="K33" i="3" a="1"/>
  <c r="K33" i="3" s="1"/>
  <c r="N47" i="1" s="1"/>
  <c r="K7" i="3" a="1"/>
  <c r="K7" i="3" s="1"/>
  <c r="N21" i="1" s="1"/>
  <c r="M7" i="3"/>
  <c r="I21" i="1"/>
  <c r="L7" i="3"/>
  <c r="M29" i="3"/>
  <c r="I43" i="1"/>
  <c r="K29" i="3" a="1"/>
  <c r="K29" i="3" s="1"/>
  <c r="N43" i="1" s="1"/>
  <c r="L29" i="3"/>
  <c r="M49" i="3"/>
  <c r="L49" i="3"/>
  <c r="I63" i="1"/>
  <c r="O63" i="1" s="1"/>
  <c r="K49" i="3" a="1"/>
  <c r="K49" i="3" s="1"/>
  <c r="N63" i="1" s="1"/>
  <c r="I40" i="1"/>
  <c r="L26" i="3"/>
  <c r="K26" i="3" a="1"/>
  <c r="K26" i="3" s="1"/>
  <c r="N40" i="1" s="1"/>
  <c r="M26" i="3"/>
  <c r="L19" i="3"/>
  <c r="M19" i="3"/>
  <c r="I33" i="1"/>
  <c r="K19" i="3" a="1"/>
  <c r="K19" i="3" s="1"/>
  <c r="N33" i="1" s="1"/>
  <c r="K25" i="3" a="1"/>
  <c r="K25" i="3" s="1"/>
  <c r="N39" i="1" s="1"/>
  <c r="M25" i="3"/>
  <c r="L25" i="3"/>
  <c r="I39" i="1"/>
  <c r="L30" i="3"/>
  <c r="I44" i="1"/>
  <c r="M30" i="3"/>
  <c r="K30" i="3" a="1"/>
  <c r="K30" i="3" s="1"/>
  <c r="N44" i="1" s="1"/>
  <c r="K27" i="3" a="1"/>
  <c r="K27" i="3" s="1"/>
  <c r="N41" i="1" s="1"/>
  <c r="M27" i="3"/>
  <c r="I41" i="1"/>
  <c r="L27" i="3"/>
  <c r="L15" i="3"/>
  <c r="K15" i="3" a="1"/>
  <c r="K15" i="3" s="1"/>
  <c r="N29" i="1" s="1"/>
  <c r="M15" i="3"/>
  <c r="I29" i="1"/>
  <c r="K45" i="3" a="1"/>
  <c r="K45" i="3" s="1"/>
  <c r="N59" i="1" s="1"/>
  <c r="I59" i="1"/>
  <c r="O59" i="1" s="1"/>
  <c r="M45" i="3"/>
  <c r="L45" i="3"/>
  <c r="L31" i="3"/>
  <c r="K31" i="3" a="1"/>
  <c r="K31" i="3" s="1"/>
  <c r="N45" i="1" s="1"/>
  <c r="M31" i="3"/>
  <c r="I45" i="1"/>
  <c r="K40" i="3" a="1"/>
  <c r="K40" i="3" s="1"/>
  <c r="N54" i="1" s="1"/>
  <c r="L40" i="3"/>
  <c r="M40" i="3"/>
  <c r="I54" i="1"/>
  <c r="O54" i="1" s="1"/>
  <c r="K9" i="3" a="1"/>
  <c r="K9" i="3" s="1"/>
  <c r="N23" i="1" s="1"/>
  <c r="M9" i="3"/>
  <c r="I23" i="1"/>
  <c r="L9" i="3"/>
  <c r="I42" i="1"/>
  <c r="M28" i="3"/>
  <c r="L28" i="3"/>
  <c r="K28" i="3" a="1"/>
  <c r="K28" i="3" s="1"/>
  <c r="N42" i="1" s="1"/>
  <c r="L11" i="3"/>
  <c r="I25" i="1"/>
  <c r="M11" i="3"/>
  <c r="K11" i="3" a="1"/>
  <c r="K11" i="3" s="1"/>
  <c r="N25" i="1" s="1"/>
  <c r="L22" i="3"/>
  <c r="M22" i="3"/>
  <c r="I36" i="1"/>
  <c r="K22" i="3" a="1"/>
  <c r="K22" i="3" s="1"/>
  <c r="N36" i="1" s="1"/>
  <c r="K41" i="3" a="1"/>
  <c r="K41" i="3" s="1"/>
  <c r="N55" i="1" s="1"/>
  <c r="M41" i="3"/>
  <c r="L41" i="3"/>
  <c r="I55" i="1"/>
  <c r="O55" i="1" s="1"/>
  <c r="K38" i="3" a="1"/>
  <c r="K38" i="3" s="1"/>
  <c r="N52" i="1" s="1"/>
  <c r="L38" i="3"/>
  <c r="M38" i="3"/>
  <c r="I52" i="1"/>
  <c r="O52" i="1" s="1"/>
  <c r="K13" i="3" a="1"/>
  <c r="K13" i="3" s="1"/>
  <c r="N27" i="1" s="1"/>
  <c r="I27" i="1"/>
  <c r="L13" i="3"/>
  <c r="M13" i="3"/>
  <c r="L36" i="3"/>
  <c r="M36" i="3"/>
  <c r="I50" i="1"/>
  <c r="O50" i="1" s="1"/>
  <c r="K36" i="3" a="1"/>
  <c r="K36" i="3" s="1"/>
  <c r="N50" i="1" s="1"/>
  <c r="M46" i="3"/>
  <c r="K46" i="3" a="1"/>
  <c r="K46" i="3" s="1"/>
  <c r="N60" i="1" s="1"/>
  <c r="I60" i="1"/>
  <c r="O60" i="1" s="1"/>
  <c r="L46" i="3"/>
  <c r="M23" i="3"/>
  <c r="K23" i="3" a="1"/>
  <c r="K23" i="3" s="1"/>
  <c r="N37" i="1" s="1"/>
  <c r="L23" i="3"/>
  <c r="I37" i="1"/>
  <c r="L34" i="3"/>
  <c r="K34" i="3" a="1"/>
  <c r="K34" i="3" s="1"/>
  <c r="N48" i="1" s="1"/>
  <c r="M34" i="3"/>
  <c r="I48" i="1"/>
  <c r="I64" i="1"/>
  <c r="O64" i="1" s="1"/>
  <c r="M50" i="3"/>
  <c r="L50" i="3"/>
  <c r="K50" i="3" a="1"/>
  <c r="K50" i="3" s="1"/>
  <c r="N64" i="1" s="1"/>
  <c r="K6" i="3" a="1"/>
  <c r="K6" i="3" s="1"/>
  <c r="N20" i="1" s="1"/>
  <c r="I20" i="1"/>
  <c r="M6" i="3"/>
  <c r="L6" i="3"/>
  <c r="I46" i="1"/>
  <c r="L32" i="3"/>
  <c r="K32" i="3" a="1"/>
  <c r="K32" i="3" s="1"/>
  <c r="N46" i="1" s="1"/>
  <c r="M32" i="3"/>
  <c r="M12" i="3"/>
  <c r="K12" i="3" a="1"/>
  <c r="K12" i="3" s="1"/>
  <c r="N26" i="1" s="1"/>
  <c r="I26" i="1"/>
  <c r="L12" i="3"/>
  <c r="M4" i="3"/>
  <c r="I18" i="1"/>
  <c r="K4" i="3" a="1"/>
  <c r="K4" i="3" s="1"/>
  <c r="N18" i="1" s="1"/>
  <c r="L4" i="3"/>
  <c r="M24" i="3"/>
  <c r="L24" i="3"/>
  <c r="K24" i="3" a="1"/>
  <c r="K24" i="3" s="1"/>
  <c r="N38" i="1" s="1"/>
  <c r="I38" i="1"/>
  <c r="M35" i="3"/>
  <c r="K35" i="3" a="1"/>
  <c r="K35" i="3" s="1"/>
  <c r="N49" i="1" s="1"/>
  <c r="L35" i="3"/>
  <c r="I49" i="1"/>
  <c r="O49" i="1" s="1"/>
  <c r="L8" i="3"/>
  <c r="K8" i="3" a="1"/>
  <c r="K8" i="3" s="1"/>
  <c r="N22" i="1" s="1"/>
  <c r="M8" i="3"/>
  <c r="I22" i="1"/>
  <c r="M5" i="3"/>
  <c r="K5" i="3" a="1"/>
  <c r="K5" i="3" s="1"/>
  <c r="N19" i="1" s="1"/>
  <c r="L5" i="3"/>
  <c r="I19" i="1"/>
  <c r="L14" i="3"/>
  <c r="M14" i="3"/>
  <c r="K14" i="3" a="1"/>
  <c r="K14" i="3" s="1"/>
  <c r="N28" i="1" s="1"/>
  <c r="I28" i="1"/>
  <c r="L48" i="3"/>
  <c r="K48" i="3" a="1"/>
  <c r="K48" i="3" s="1"/>
  <c r="N62" i="1" s="1"/>
  <c r="I62" i="1"/>
  <c r="O62" i="1" s="1"/>
  <c r="M48" i="3"/>
  <c r="Q32" i="1"/>
  <c r="O32" i="1"/>
  <c r="I51" i="1"/>
  <c r="O51" i="1" s="1"/>
  <c r="L37" i="3"/>
  <c r="K37" i="3" a="1"/>
  <c r="K37" i="3" s="1"/>
  <c r="N51" i="1" s="1"/>
  <c r="M37" i="3"/>
  <c r="O25" i="1" l="1"/>
  <c r="Q25" i="1"/>
  <c r="O31" i="1"/>
  <c r="Q31" i="1"/>
  <c r="Q43" i="1"/>
  <c r="O43" i="1"/>
  <c r="Q41" i="1"/>
  <c r="O41" i="1"/>
  <c r="AZ32" i="1" s="1"/>
  <c r="Q28" i="1"/>
  <c r="O28" i="1"/>
  <c r="AO12" i="1" s="1"/>
  <c r="O21" i="1"/>
  <c r="Q21" i="1"/>
  <c r="Q42" i="1"/>
  <c r="O42" i="1"/>
  <c r="AO28" i="1" s="1"/>
  <c r="AZ24" i="1"/>
  <c r="AZ8" i="1"/>
  <c r="AO16" i="1"/>
  <c r="AZ14" i="1"/>
  <c r="AZ12" i="1"/>
  <c r="AZ16" i="1"/>
  <c r="AZ2" i="1"/>
  <c r="AO14" i="1"/>
  <c r="AO18" i="1"/>
  <c r="AO20" i="1"/>
  <c r="O23" i="1"/>
  <c r="AZ26" i="1" s="1"/>
  <c r="Q23" i="1"/>
  <c r="Q17" i="1"/>
  <c r="O17" i="1"/>
  <c r="AO2" i="1" s="1"/>
  <c r="O44" i="1"/>
  <c r="AZ28" i="1" s="1"/>
  <c r="Q44" i="1"/>
  <c r="O46" i="1"/>
  <c r="AZ20" i="1" s="1"/>
  <c r="Q46" i="1"/>
  <c r="O27" i="1"/>
  <c r="AO22" i="1" s="1"/>
  <c r="Q27" i="1"/>
  <c r="Q39" i="1"/>
  <c r="O39" i="1"/>
  <c r="AO8" i="1" s="1"/>
  <c r="Q47" i="1"/>
  <c r="O47" i="1"/>
  <c r="Q22" i="1"/>
  <c r="O22" i="1"/>
  <c r="AZ10" i="1" s="1"/>
  <c r="O24" i="1"/>
  <c r="AZ30" i="1" s="1"/>
  <c r="Q24" i="1"/>
  <c r="Q33" i="1"/>
  <c r="O33" i="1"/>
  <c r="Q34" i="1"/>
  <c r="O34" i="1"/>
  <c r="O45" i="1"/>
  <c r="Q45" i="1"/>
  <c r="Q19" i="1"/>
  <c r="O19" i="1"/>
  <c r="AO6" i="1" s="1"/>
  <c r="O48" i="1"/>
  <c r="AO32" i="1" s="1"/>
  <c r="Q48" i="1"/>
  <c r="O26" i="1"/>
  <c r="AZ4" i="1" s="1"/>
  <c r="Q26" i="1"/>
  <c r="Q38" i="1"/>
  <c r="O38" i="1"/>
  <c r="AZ6" i="1" s="1"/>
  <c r="Q40" i="1"/>
  <c r="O40" i="1"/>
  <c r="AO24" i="1" s="1"/>
  <c r="Q36" i="1"/>
  <c r="O36" i="1"/>
  <c r="AO4" i="1" s="1"/>
  <c r="O30" i="1"/>
  <c r="AO30" i="1" s="1"/>
  <c r="Q30" i="1"/>
  <c r="Q37" i="1"/>
  <c r="O37" i="1"/>
  <c r="AZ22" i="1" s="1"/>
  <c r="Q29" i="1"/>
  <c r="O29" i="1"/>
  <c r="O35" i="1"/>
  <c r="AO10" i="1" s="1"/>
  <c r="Q35" i="1"/>
  <c r="O20" i="1"/>
  <c r="Q20" i="1"/>
  <c r="O18" i="1"/>
  <c r="Q18" i="1"/>
  <c r="AO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tc={3A858358-FFFB-4820-8315-41A12D0CD2B2}</author>
    <author>tc={1F683622-16EF-4E6D-9EEC-B58F5E09EEDF}</author>
  </authors>
  <commentList>
    <comment ref="E2" authorId="0" shapeId="0" xr:uid="{3A858358-FFFB-4820-8315-41A12D0CD2B2}">
      <text>
        <t>[Threaded comment]
Your version of Excel allows you to read this threaded comment; however, any edits to it will get removed if the file is opened in a newer version of Excel. Learn more: https://go.microsoft.com/fwlink/?linkid=870924
Comment:
    FIFA world ranking pre-tourney</t>
      </text>
    </comment>
    <comment ref="I2" authorId="1" shapeId="0" xr:uid="{1F683622-16EF-4E6D-9EEC-B58F5E09EEDF}">
      <text>
        <t>[Threaded comment]
Your version of Excel allows you to read this threaded comment; however, any edits to it will get removed if the file is opened in a newer version of Excel. Learn more: https://go.microsoft.com/fwlink/?linkid=870924
Comment:
    Ranked tourney results - Pts, then +/-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<sst xmlns="http://schemas.openxmlformats.org/spreadsheetml/2006/main" count="4578" uniqueCount="214">
  <si>
    <t>MEXICO</t>
  </si>
  <si>
    <t>SOUTH AFRICA</t>
  </si>
  <si>
    <t>CZECHIA</t>
  </si>
  <si>
    <t>CANADA</t>
  </si>
  <si>
    <t>BOSNIA-HERZ</t>
  </si>
  <si>
    <t>QATAR</t>
  </si>
  <si>
    <t>SWITZERLAND</t>
  </si>
  <si>
    <t>BRAZIL</t>
  </si>
  <si>
    <t>MOROCCO</t>
  </si>
  <si>
    <t>HAITI</t>
  </si>
  <si>
    <t>SCOTLAND</t>
  </si>
  <si>
    <t>USA</t>
  </si>
  <si>
    <t>PARAGUAY</t>
  </si>
  <si>
    <t>AUSTRALIA</t>
  </si>
  <si>
    <t>TURKIYE</t>
  </si>
  <si>
    <t>CURACAO</t>
  </si>
  <si>
    <t>IVORY COAST</t>
  </si>
  <si>
    <t>ECUDOR</t>
  </si>
  <si>
    <t>NEDERLANDS</t>
  </si>
  <si>
    <t>JAPAN</t>
  </si>
  <si>
    <t>SWEDEN</t>
  </si>
  <si>
    <t>TUNISIA</t>
  </si>
  <si>
    <t>BELGIUM</t>
  </si>
  <si>
    <t>EGYPT</t>
  </si>
  <si>
    <t>IRAN</t>
  </si>
  <si>
    <t>NEW ZEALAND</t>
  </si>
  <si>
    <t>SPAIN</t>
  </si>
  <si>
    <t>CAPE VERDE</t>
  </si>
  <si>
    <t>SAUDI ARABIA</t>
  </si>
  <si>
    <t>URUGUAY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</si>
  <si>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</si>
  <si>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</si>
  <si>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</si>
  <si>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</si>
  <si>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</si>
  <si>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</si>
  <si>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</si>
  <si>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</si>
  <si>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</si>
  <si>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CONGO</t>
  </si>
  <si>
    <t>UZBEKISTAN</t>
  </si>
  <si>
    <t>COLOMBIA</t>
  </si>
  <si>
    <t>ENGLAND</t>
  </si>
  <si>
    <t>CROATIA</t>
  </si>
  <si>
    <t>GHANA</t>
  </si>
  <si>
    <t>PANAMA</t>
  </si>
  <si>
    <t>GERMANY</t>
  </si>
  <si>
    <t>vs</t>
  </si>
  <si>
    <t>SOUTH KOREA</t>
  </si>
  <si>
    <t>W</t>
  </si>
  <si>
    <t>L</t>
  </si>
  <si>
    <t>+/-</t>
  </si>
  <si>
    <t>RK</t>
  </si>
  <si>
    <t>SCHEDULE</t>
  </si>
  <si>
    <r>
      <rPr>
        <b/>
        <sz val="8"/>
        <color rgb="FF9E1B32"/>
        <rFont val="Aptos Narrow"/>
        <family val="2"/>
        <scheme val="minor"/>
      </rPr>
      <t>18</t>
    </r>
    <r>
      <rPr>
        <b/>
        <sz val="11"/>
        <color rgb="FF9E1B32"/>
        <rFont val="Aptos Narrow"/>
        <family val="2"/>
        <scheme val="minor"/>
      </rPr>
      <t xml:space="preserve"> ALABAMA · 0</t>
    </r>
  </si>
  <si>
    <t>2026 MEN'S COLLEGE WORLD SERIES</t>
  </si>
  <si>
    <r>
      <rPr>
        <b/>
        <sz val="8"/>
        <color rgb="FFEAAA00"/>
        <rFont val="Aptos Narrow"/>
        <family val="2"/>
        <scheme val="minor"/>
      </rPr>
      <t xml:space="preserve"> 10 </t>
    </r>
    <r>
      <rPr>
        <b/>
        <sz val="11"/>
        <color rgb="FFEAAA00"/>
        <rFont val="Aptos Narrow"/>
        <family val="2"/>
        <scheme val="minor"/>
      </rPr>
      <t>WEST VIRGINIA · 7</t>
    </r>
  </si>
  <si>
    <r>
      <rPr>
        <b/>
        <sz val="8"/>
        <color rgb="FFB3B5B8"/>
        <rFont val="Aptos Narrow"/>
        <family val="2"/>
        <scheme val="minor"/>
      </rPr>
      <t>49</t>
    </r>
    <r>
      <rPr>
        <b/>
        <sz val="11"/>
        <color rgb="FFB3B5B8"/>
        <rFont val="Aptos Narrow"/>
        <family val="2"/>
        <scheme val="minor"/>
      </rPr>
      <t xml:space="preserve"> TROY · 5</t>
    </r>
  </si>
  <si>
    <r>
      <rPr>
        <b/>
        <sz val="8"/>
        <color theme="0"/>
        <rFont val="Aptos Narrow"/>
        <family val="2"/>
        <scheme val="minor"/>
      </rPr>
      <t>4</t>
    </r>
    <r>
      <rPr>
        <b/>
        <sz val="11"/>
        <color theme="0"/>
        <rFont val="Aptos Narrow"/>
        <family val="2"/>
        <scheme val="minor"/>
      </rPr>
      <t xml:space="preserve"> NORTH CAROLINA · 6</t>
    </r>
  </si>
  <si>
    <r>
      <rPr>
        <b/>
        <sz val="8"/>
        <color rgb="FFCE1126"/>
        <rFont val="Aptos Narrow"/>
        <family val="2"/>
        <scheme val="minor"/>
      </rPr>
      <t>21</t>
    </r>
    <r>
      <rPr>
        <b/>
        <sz val="11"/>
        <color rgb="FFCE1126"/>
        <rFont val="Aptos Narrow"/>
        <family val="2"/>
        <scheme val="minor"/>
      </rPr>
      <t xml:space="preserve"> OLE MISS · 2</t>
    </r>
  </si>
  <si>
    <r>
      <rPr>
        <b/>
        <sz val="8"/>
        <color rgb="FFFDF9D8"/>
        <rFont val="Aptos Narrow"/>
        <family val="2"/>
        <scheme val="minor"/>
      </rPr>
      <t>25</t>
    </r>
    <r>
      <rPr>
        <b/>
        <sz val="11"/>
        <color rgb="FFFDF9D8"/>
        <rFont val="Aptos Narrow"/>
        <family val="2"/>
        <scheme val="minor"/>
      </rPr>
      <t xml:space="preserve"> OKLAHOMA · 9</t>
    </r>
  </si>
  <si>
    <r>
      <rPr>
        <b/>
        <sz val="8"/>
        <color rgb="FFBF5700"/>
        <rFont val="Aptos Narrow"/>
        <family val="2"/>
        <scheme val="minor"/>
      </rPr>
      <t>3</t>
    </r>
    <r>
      <rPr>
        <b/>
        <sz val="11"/>
        <color rgb="FFBF5700"/>
        <rFont val="Aptos Narrow"/>
        <family val="2"/>
        <scheme val="minor"/>
      </rPr>
      <t xml:space="preserve"> TEXAS · 1</t>
    </r>
  </si>
  <si>
    <r>
      <rPr>
        <b/>
        <sz val="8"/>
        <color theme="1"/>
        <rFont val="Aptos Narrow"/>
        <family val="2"/>
        <scheme val="minor"/>
      </rPr>
      <t>7</t>
    </r>
    <r>
      <rPr>
        <b/>
        <sz val="11"/>
        <color theme="1"/>
        <rFont val="Aptos Narrow"/>
        <family val="2"/>
        <scheme val="minor"/>
      </rPr>
      <t xml:space="preserve"> GEORGIA · 7</t>
    </r>
  </si>
  <si>
    <r>
      <rPr>
        <b/>
        <sz val="8"/>
        <color rgb="FFB3B5B8"/>
        <rFont val="Aptos Narrow"/>
        <family val="2"/>
        <scheme val="minor"/>
      </rPr>
      <t>49</t>
    </r>
    <r>
      <rPr>
        <b/>
        <sz val="11"/>
        <color rgb="FFB3B5B8"/>
        <rFont val="Aptos Narrow"/>
        <family val="2"/>
        <scheme val="minor"/>
      </rPr>
      <t xml:space="preserve"> TROY · 12</t>
    </r>
  </si>
  <si>
    <r>
      <rPr>
        <b/>
        <strike/>
        <sz val="8"/>
        <color rgb="FFCE1126"/>
        <rFont val="Aptos Narrow"/>
        <family val="2"/>
        <scheme val="minor"/>
      </rPr>
      <t>21</t>
    </r>
    <r>
      <rPr>
        <b/>
        <strike/>
        <sz val="11"/>
        <color rgb="FFCE1126"/>
        <rFont val="Aptos Narrow"/>
        <family val="2"/>
        <scheme val="minor"/>
      </rPr>
      <t xml:space="preserve"> OLE MISS · 8</t>
    </r>
  </si>
  <si>
    <t>Pts</t>
  </si>
  <si>
    <t>D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</si>
  <si>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</si>
  <si>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</si>
  <si>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</si>
  <si>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</si>
  <si>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</si>
  <si>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</si>
  <si>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</si>
  <si>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</si>
  <si>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</si>
  <si>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</si>
  <si>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</si>
  <si>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</si>
  <si>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 xml:space="preserve">AUSTRIA </t>
  </si>
  <si>
    <t>ECUADOR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</si>
  <si>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</si>
  <si>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</si>
  <si>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</si>
  <si>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</si>
  <si>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</si>
  <si>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</si>
  <si>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</si>
  <si>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</si>
  <si>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</si>
  <si>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</si>
  <si>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</si>
  <si>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</si>
  <si>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</si>
  <si>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</si>
  <si>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</si>
  <si>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</si>
  <si>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</si>
  <si>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</si>
  <si>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</si>
  <si>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</si>
  <si>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</si>
  <si>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</si>
  <si>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</si>
  <si>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</si>
  <si>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r>
      <rPr>
        <b/>
        <sz val="8"/>
        <color theme="0"/>
        <rFont val="Aptos Narrow"/>
        <family val="2"/>
        <scheme val="minor"/>
      </rPr>
      <t xml:space="preserve">4 </t>
    </r>
    <r>
      <rPr>
        <b/>
        <sz val="11"/>
        <color theme="0"/>
        <rFont val="Aptos Narrow"/>
        <family val="2"/>
        <scheme val="minor"/>
      </rPr>
      <t>NORTH CAROLINA · 5</t>
    </r>
  </si>
  <si>
    <r>
      <rPr>
        <b/>
        <sz val="8"/>
        <color rgb="FFEAAA00"/>
        <rFont val="Aptos Narrow"/>
        <family val="2"/>
        <scheme val="minor"/>
      </rPr>
      <t xml:space="preserve"> 10</t>
    </r>
    <r>
      <rPr>
        <b/>
        <sz val="11"/>
        <color rgb="FFEAAA00"/>
        <rFont val="Aptos Narrow"/>
        <family val="2"/>
        <scheme val="minor"/>
      </rPr>
      <t xml:space="preserve"> WEST VIRGINIA · 2</t>
    </r>
  </si>
  <si>
    <r>
      <rPr>
        <b/>
        <sz val="8"/>
        <color rgb="FFBF5700"/>
        <rFont val="Aptos Narrow"/>
        <family val="2"/>
        <scheme val="minor"/>
      </rPr>
      <t>3</t>
    </r>
    <r>
      <rPr>
        <b/>
        <sz val="11"/>
        <color rgb="FFBF5700"/>
        <rFont val="Aptos Narrow"/>
        <family val="2"/>
        <scheme val="minor"/>
      </rPr>
      <t xml:space="preserve"> TEXAS · 14</t>
    </r>
  </si>
  <si>
    <r>
      <rPr>
        <b/>
        <strike/>
        <sz val="8"/>
        <color rgb="FF9E1B32"/>
        <rFont val="Aptos Narrow"/>
        <family val="2"/>
        <scheme val="minor"/>
      </rPr>
      <t>18</t>
    </r>
    <r>
      <rPr>
        <b/>
        <strike/>
        <sz val="11"/>
        <color rgb="FF9E1B32"/>
        <rFont val="Aptos Narrow"/>
        <family val="2"/>
        <scheme val="minor"/>
      </rPr>
      <t xml:space="preserve"> ALABAMA · 2</t>
    </r>
  </si>
  <si>
    <r>
      <rPr>
        <b/>
        <sz val="8"/>
        <color rgb="FFFDF9D8"/>
        <rFont val="Aptos Narrow"/>
        <family val="2"/>
        <scheme val="minor"/>
      </rPr>
      <t xml:space="preserve">25 </t>
    </r>
    <r>
      <rPr>
        <b/>
        <sz val="11"/>
        <color rgb="FFFDF9D8"/>
        <rFont val="Aptos Narrow"/>
        <family val="2"/>
        <scheme val="minor"/>
      </rPr>
      <t>OKLAHOMA · 4</t>
    </r>
  </si>
  <si>
    <r>
      <rPr>
        <b/>
        <sz val="8"/>
        <color theme="1"/>
        <rFont val="Aptos Narrow"/>
        <family val="2"/>
        <scheme val="minor"/>
      </rPr>
      <t xml:space="preserve">7 </t>
    </r>
    <r>
      <rPr>
        <b/>
        <sz val="11"/>
        <color theme="1"/>
        <rFont val="Aptos Narrow"/>
        <family val="2"/>
        <scheme val="minor"/>
      </rPr>
      <t>GEORGIA · 3</t>
    </r>
  </si>
  <si>
    <r>
      <rPr>
        <b/>
        <sz val="8"/>
        <color rgb="FFEAAA00"/>
        <rFont val="Aptos Narrow"/>
        <family val="2"/>
        <scheme val="minor"/>
      </rPr>
      <t xml:space="preserve"> 10</t>
    </r>
    <r>
      <rPr>
        <b/>
        <sz val="11"/>
        <color rgb="FFEAAA00"/>
        <rFont val="Aptos Narrow"/>
        <family val="2"/>
        <scheme val="minor"/>
      </rPr>
      <t xml:space="preserve"> WEST VIRGINIA · 12</t>
    </r>
  </si>
  <si>
    <r>
      <rPr>
        <b/>
        <strike/>
        <sz val="8"/>
        <color rgb="FFB3B5B8"/>
        <rFont val="Aptos Narrow"/>
        <family val="2"/>
        <scheme val="minor"/>
      </rPr>
      <t>49</t>
    </r>
    <r>
      <rPr>
        <b/>
        <strike/>
        <sz val="11"/>
        <color rgb="FFB3B5B8"/>
        <rFont val="Aptos Narrow"/>
        <family val="2"/>
        <scheme val="minor"/>
      </rPr>
      <t xml:space="preserve"> TROY · 0</t>
    </r>
  </si>
  <si>
    <r>
      <rPr>
        <b/>
        <sz val="8"/>
        <color theme="1"/>
        <rFont val="Aptos Narrow"/>
        <family val="2"/>
        <scheme val="minor"/>
      </rPr>
      <t xml:space="preserve">7 </t>
    </r>
    <r>
      <rPr>
        <b/>
        <sz val="11"/>
        <color theme="1"/>
        <rFont val="Aptos Narrow"/>
        <family val="2"/>
        <scheme val="minor"/>
      </rPr>
      <t>GEORGIA · 2</t>
    </r>
  </si>
  <si>
    <r>
      <rPr>
        <b/>
        <strike/>
        <sz val="8"/>
        <color rgb="FFBF5700"/>
        <rFont val="Aptos Narrow"/>
        <family val="2"/>
        <scheme val="minor"/>
      </rPr>
      <t>3</t>
    </r>
    <r>
      <rPr>
        <b/>
        <strike/>
        <sz val="11"/>
        <color rgb="FFBF5700"/>
        <rFont val="Aptos Narrow"/>
        <family val="2"/>
        <scheme val="minor"/>
      </rPr>
      <t xml:space="preserve"> TEXAS · 0</t>
    </r>
  </si>
  <si>
    <r>
      <rPr>
        <b/>
        <sz val="8"/>
        <color theme="0"/>
        <rFont val="Aptos Narrow"/>
        <family val="2"/>
        <scheme val="minor"/>
      </rPr>
      <t>4</t>
    </r>
    <r>
      <rPr>
        <b/>
        <sz val="11"/>
        <color theme="0"/>
        <rFont val="Aptos Narrow"/>
        <family val="2"/>
        <scheme val="minor"/>
      </rPr>
      <t xml:space="preserve"> NORTH CAROLINA · 12</t>
    </r>
  </si>
  <si>
    <r>
      <rPr>
        <b/>
        <strike/>
        <sz val="8"/>
        <color rgb="FFEAAA00"/>
        <rFont val="Aptos Narrow"/>
        <family val="2"/>
        <scheme val="minor"/>
      </rPr>
      <t xml:space="preserve"> 10 </t>
    </r>
    <r>
      <rPr>
        <b/>
        <strike/>
        <sz val="11"/>
        <color rgb="FFEAAA00"/>
        <rFont val="Aptos Narrow"/>
        <family val="2"/>
        <scheme val="minor"/>
      </rPr>
      <t>WEST VIRGINIA · 7</t>
    </r>
  </si>
  <si>
    <t>3RD A/B/C/D/F</t>
  </si>
  <si>
    <t>3RD C/D/F/G/H</t>
  </si>
  <si>
    <t>3RD C/E/F/H/I</t>
  </si>
  <si>
    <t>3RD E/H/I/J/K</t>
  </si>
  <si>
    <t>3RD A/E/H/I/J</t>
  </si>
  <si>
    <t>3RD B/E/F/I/J</t>
  </si>
  <si>
    <t>3RD 3/F/G/I/J</t>
  </si>
  <si>
    <t>3RD D/E/I/J/L</t>
  </si>
  <si>
    <t>W1</t>
  </si>
  <si>
    <t>W3</t>
  </si>
  <si>
    <t>W2</t>
  </si>
  <si>
    <t>W5</t>
  </si>
  <si>
    <t>W4</t>
  </si>
  <si>
    <t>W6</t>
  </si>
  <si>
    <t>W7</t>
  </si>
  <si>
    <t>W8</t>
  </si>
  <si>
    <t>W11</t>
  </si>
  <si>
    <t>W12</t>
  </si>
  <si>
    <t>W9</t>
  </si>
  <si>
    <t>W10</t>
  </si>
  <si>
    <t>W14</t>
  </si>
  <si>
    <t>W16</t>
  </si>
  <si>
    <t>W13</t>
  </si>
  <si>
    <t>W15</t>
  </si>
  <si>
    <r>
      <rPr>
        <b/>
        <sz val="8"/>
        <color rgb="FFFDF9D8"/>
        <rFont val="Aptos Narrow"/>
        <family val="2"/>
        <scheme val="minor"/>
      </rPr>
      <t xml:space="preserve">25 </t>
    </r>
    <r>
      <rPr>
        <b/>
        <sz val="11"/>
        <color rgb="FFFDF9D8"/>
        <rFont val="Aptos Narrow"/>
        <family val="2"/>
        <scheme val="minor"/>
      </rPr>
      <t>OKLAHOMA · 11</t>
    </r>
  </si>
  <si>
    <r>
      <rPr>
        <b/>
        <strike/>
        <sz val="8"/>
        <color theme="1"/>
        <rFont val="Aptos Narrow"/>
        <family val="2"/>
        <scheme val="minor"/>
      </rPr>
      <t>7</t>
    </r>
    <r>
      <rPr>
        <b/>
        <strike/>
        <sz val="11"/>
        <color theme="1"/>
        <rFont val="Aptos Narrow"/>
        <family val="2"/>
        <scheme val="minor"/>
      </rPr>
      <t xml:space="preserve"> GEORGIA · 4</t>
    </r>
  </si>
  <si>
    <r>
      <rPr>
        <b/>
        <sz val="8"/>
        <color theme="0"/>
        <rFont val="Aptos Narrow"/>
        <family val="2"/>
        <scheme val="minor"/>
      </rPr>
      <t>4</t>
    </r>
    <r>
      <rPr>
        <b/>
        <sz val="11"/>
        <color theme="0"/>
        <rFont val="Aptos Narrow"/>
        <family val="2"/>
        <scheme val="minor"/>
      </rPr>
      <t xml:space="preserve"> NORTH CAROLINA · 3</t>
    </r>
  </si>
  <si>
    <r>
      <rPr>
        <b/>
        <sz val="8"/>
        <color rgb="FFFDF9D8"/>
        <rFont val="Aptos Narrow"/>
        <family val="2"/>
        <scheme val="minor"/>
      </rPr>
      <t>25</t>
    </r>
    <r>
      <rPr>
        <b/>
        <sz val="11"/>
        <color rgb="FFFDF9D8"/>
        <rFont val="Aptos Narrow"/>
        <family val="2"/>
        <scheme val="minor"/>
      </rPr>
      <t xml:space="preserve"> OKLAHOMA · 2</t>
    </r>
  </si>
  <si>
    <t>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</si>
  <si>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</si>
  <si>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</si>
  <si>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</si>
  <si>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</si>
  <si>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</si>
  <si>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</si>
  <si>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</si>
  <si>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</si>
  <si>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</si>
  <si>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COUNTRY</t>
  </si>
  <si>
    <t>PTS</t>
  </si>
  <si>
    <t>GRP</t>
  </si>
  <si>
    <t>RD32</t>
  </si>
  <si>
    <t>1A</t>
  </si>
  <si>
    <t>1B</t>
  </si>
  <si>
    <t>1D</t>
  </si>
  <si>
    <t>1E</t>
  </si>
  <si>
    <t>1G</t>
  </si>
  <si>
    <t>1I</t>
  </si>
  <si>
    <t>1K</t>
  </si>
  <si>
    <t>1L</t>
  </si>
  <si>
    <t>3C</t>
  </si>
  <si>
    <t xml:space="preserve"> 3G</t>
  </si>
  <si>
    <t xml:space="preserve"> 3B</t>
  </si>
  <si>
    <t xml:space="preserve"> 3D</t>
  </si>
  <si>
    <t xml:space="preserve"> 3A</t>
  </si>
  <si>
    <t xml:space="preserve"> 3F</t>
  </si>
  <si>
    <t xml:space="preserve"> 3L</t>
  </si>
  <si>
    <t xml:space="preserve"> 3I</t>
  </si>
  <si>
    <t xml:space="preserve"> 3K</t>
  </si>
  <si>
    <t xml:space="preserve"> 3J</t>
  </si>
  <si>
    <t xml:space="preserve"> 3H</t>
  </si>
  <si>
    <t>3H</t>
  </si>
  <si>
    <t xml:space="preserve"> 3C</t>
  </si>
  <si>
    <t>3E</t>
  </si>
  <si>
    <t xml:space="preserve"> 3E</t>
  </si>
  <si>
    <t>3I</t>
  </si>
  <si>
    <t>3F</t>
  </si>
  <si>
    <t>3D</t>
  </si>
  <si>
    <t>3G</t>
  </si>
  <si>
    <t>3K</t>
  </si>
  <si>
    <t>3A</t>
  </si>
  <si>
    <t>C3</t>
  </si>
  <si>
    <t>F3</t>
  </si>
  <si>
    <t>H3</t>
  </si>
  <si>
    <t>K3</t>
  </si>
  <si>
    <t>A3</t>
  </si>
  <si>
    <t>G3</t>
  </si>
  <si>
    <t>D3</t>
  </si>
  <si>
    <t>3J</t>
  </si>
  <si>
    <t>&lt;-- Current qualified 3rd place teams</t>
  </si>
  <si>
    <t>J3</t>
  </si>
  <si>
    <t>3rd Place Game</t>
  </si>
  <si>
    <t>2026 FIFA Men's World Cup Championship</t>
  </si>
  <si>
    <r>
      <rPr>
        <b/>
        <sz val="8"/>
        <color rgb="FFFDF9D8"/>
        <rFont val="Aptos Narrow"/>
        <family val="2"/>
        <scheme val="minor"/>
      </rPr>
      <t>25</t>
    </r>
    <r>
      <rPr>
        <b/>
        <sz val="11"/>
        <color rgb="FFFDF9D8"/>
        <rFont val="Aptos Narrow"/>
        <family val="2"/>
        <scheme val="minor"/>
      </rPr>
      <t xml:space="preserve"> OKLAHOMA · 13</t>
    </r>
  </si>
  <si>
    <r>
      <rPr>
        <b/>
        <strike/>
        <sz val="8"/>
        <color theme="0"/>
        <rFont val="Aptos Narrow"/>
        <family val="2"/>
        <scheme val="minor"/>
      </rPr>
      <t>4</t>
    </r>
    <r>
      <rPr>
        <b/>
        <strike/>
        <sz val="11"/>
        <color theme="0"/>
        <rFont val="Aptos Narrow"/>
        <family val="2"/>
        <scheme val="minor"/>
      </rPr>
      <t xml:space="preserve"> NORTH CAROLINA · 2</t>
    </r>
  </si>
  <si>
    <r>
      <rPr>
        <b/>
        <sz val="12"/>
        <color rgb="FFFDF9D8"/>
        <rFont val="Aptos Narrow"/>
        <family val="2"/>
        <scheme val="minor"/>
      </rPr>
      <t xml:space="preserve">25 </t>
    </r>
    <r>
      <rPr>
        <b/>
        <sz val="26"/>
        <color rgb="FFFDF9D8"/>
        <rFont val="Aptos Narrow"/>
        <family val="2"/>
        <scheme val="minor"/>
      </rPr>
      <t>OKLAHOMA</t>
    </r>
  </si>
  <si>
    <t>2026 Men's College World Series                    Champion</t>
  </si>
  <si>
    <t>&lt;-- Needle in the haystack</t>
  </si>
  <si>
    <t>&lt;-- Fixed 1st Pl teams with 3rd pl opponents</t>
  </si>
  <si>
    <t>&lt;-- 1st place teams normalized for formulas</t>
  </si>
  <si>
    <t>Iteration #</t>
  </si>
  <si>
    <t>raw</t>
  </si>
  <si>
    <t>ranked</t>
  </si>
  <si>
    <t>rk</t>
  </si>
  <si>
    <t>niths.1</t>
  </si>
  <si>
    <t>&lt;-- Needle in the haystack (.2)</t>
  </si>
  <si>
    <r>
      <t>&lt;-- Current Annex C Mapping</t>
    </r>
    <r>
      <rPr>
        <sz val="6"/>
        <color theme="1"/>
        <rFont val="Aptos Narrow"/>
        <family val="2"/>
        <scheme val="minor"/>
      </rPr>
      <t xml:space="preserve"> (norm)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</si>
</sst>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11"/>
      <color rgb="FFEAAA00"/>
      <name val="Aptos Narrow"/>
      <family val="2"/>
      <scheme val="minor"/>
    </font>
    <font>
      <b/>
      <sz val="11"/>
      <color rgb="FFB3B5B8"/>
      <name val="Aptos Narrow"/>
      <family val="2"/>
      <scheme val="minor"/>
    </font>
    <font>
      <b/>
      <sz val="11"/>
      <color rgb="FFCE1126"/>
      <name val="Aptos Narrow"/>
      <family val="2"/>
      <scheme val="minor"/>
    </font>
    <font>
      <b/>
      <sz val="11"/>
      <color rgb="FF9E1B32"/>
      <name val="Aptos Narrow"/>
      <family val="2"/>
      <scheme val="minor"/>
    </font>
    <font>
      <b/>
      <sz val="11"/>
      <color rgb="FFBF5700"/>
      <name val="Aptos Narrow"/>
      <family val="2"/>
      <scheme val="minor"/>
    </font>
    <font>
      <b/>
      <sz val="11"/>
      <color rgb="FFFDF9D8"/>
      <name val="Aptos Narrow"/>
      <family val="2"/>
      <scheme val="minor"/>
    </font>
    <font>
      <b/>
      <sz val="8"/>
      <color rgb="FFBF5700"/>
      <name val="Aptos Narrow"/>
      <family val="2"/>
      <scheme val="minor"/>
    </font>
    <font>
      <b/>
      <sz val="8"/>
      <color rgb="FFEAAA00"/>
      <name val="Aptos Narrow"/>
      <family val="2"/>
      <scheme val="minor"/>
    </font>
    <font>
      <b/>
      <sz val="8"/>
      <color rgb="FFB3B5B8"/>
      <name val="Aptos Narrow"/>
      <family val="2"/>
      <scheme val="minor"/>
    </font>
    <font>
      <b/>
      <sz val="8"/>
      <color rgb="FFCE1126"/>
      <name val="Aptos Narrow"/>
      <family val="2"/>
      <scheme val="minor"/>
    </font>
    <font>
      <b/>
      <sz val="8"/>
      <color rgb="FF9E1B32"/>
      <name val="Aptos Narrow"/>
      <family val="2"/>
      <scheme val="minor"/>
    </font>
    <font>
      <b/>
      <sz val="8"/>
      <color rgb="FFFDF9D8"/>
      <name val="Aptos Narrow"/>
      <family val="2"/>
      <scheme val="minor"/>
    </font>
    <font>
      <b/>
      <strike/>
      <sz val="11"/>
      <color rgb="FFCE1126"/>
      <name val="Aptos Narrow"/>
      <family val="2"/>
      <scheme val="minor"/>
    </font>
    <font>
      <b/>
      <strike/>
      <sz val="8"/>
      <color rgb="FFCE1126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i/>
      <sz val="8"/>
      <color theme="0" tint="-0.499984740745262"/>
      <name val="Aptos Narrow"/>
      <family val="2"/>
      <scheme val="minor"/>
    </font>
    <font>
      <b/>
      <i/>
      <sz val="8"/>
      <color theme="0" tint="-0.499984740745262"/>
      <name val="Aptos Narrow"/>
      <family val="2"/>
      <scheme val="minor"/>
    </font>
    <font>
      <b/>
      <i/>
      <sz val="6"/>
      <color theme="0" tint="-0.499984740745262"/>
      <name val="Aptos Narrow"/>
      <family val="2"/>
      <scheme val="minor"/>
    </font>
    <font>
      <b/>
      <strike/>
      <sz val="11"/>
      <color rgb="FF9E1B32"/>
      <name val="Aptos Narrow"/>
      <family val="2"/>
      <scheme val="minor"/>
    </font>
    <font>
      <b/>
      <strike/>
      <sz val="8"/>
      <color rgb="FF9E1B32"/>
      <name val="Aptos Narrow"/>
      <family val="2"/>
      <scheme val="minor"/>
    </font>
    <font>
      <b/>
      <strike/>
      <sz val="11"/>
      <color rgb="FFB3B5B8"/>
      <name val="Aptos Narrow"/>
      <family val="2"/>
      <scheme val="minor"/>
    </font>
    <font>
      <b/>
      <strike/>
      <sz val="8"/>
      <color rgb="FFB3B5B8"/>
      <name val="Aptos Narrow"/>
      <family val="2"/>
      <scheme val="minor"/>
    </font>
    <font>
      <b/>
      <strike/>
      <sz val="11"/>
      <color rgb="FFBF5700"/>
      <name val="Aptos Narrow"/>
      <family val="2"/>
      <scheme val="minor"/>
    </font>
    <font>
      <b/>
      <strike/>
      <sz val="8"/>
      <color rgb="FFBF5700"/>
      <name val="Aptos Narrow"/>
      <family val="2"/>
      <scheme val="minor"/>
    </font>
    <font>
      <b/>
      <strike/>
      <sz val="11"/>
      <color rgb="FFEAAA00"/>
      <name val="Aptos Narrow"/>
      <family val="2"/>
      <scheme val="minor"/>
    </font>
    <font>
      <b/>
      <strike/>
      <sz val="8"/>
      <color rgb="FFEAAA00"/>
      <name val="Aptos Narrow"/>
      <family val="2"/>
      <scheme val="minor"/>
    </font>
    <font>
      <b/>
      <sz val="6"/>
      <color rgb="FF00B050"/>
      <name val="Aptos Narrow"/>
      <family val="2"/>
      <scheme val="minor"/>
    </font>
    <font>
      <sz val="6"/>
      <color rgb="FF00B050"/>
      <name val="Aptos Narrow"/>
      <family val="2"/>
      <scheme val="minor"/>
    </font>
    <font>
      <b/>
      <sz val="8"/>
      <color rgb="FF00B050"/>
      <name val="Aptos Narrow"/>
      <family val="2"/>
      <scheme val="minor"/>
    </font>
    <font>
      <b/>
      <sz val="7"/>
      <color rgb="FF00B050"/>
      <name val="Aptos Narrow"/>
      <family val="2"/>
      <scheme val="minor"/>
    </font>
    <font>
      <sz val="6"/>
      <color rgb="FFFF0000"/>
      <name val="Aptos Narrow"/>
      <family val="2"/>
      <scheme val="minor"/>
    </font>
    <font>
      <b/>
      <sz val="6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z val="6"/>
      <color theme="9" tint="0.79998168889431442"/>
      <name val="Aptos Narrow"/>
      <family val="2"/>
      <scheme val="minor"/>
    </font>
    <font>
      <b/>
      <sz val="6"/>
      <color rgb="FFFF7C80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b/>
      <strike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6"/>
      <color theme="0"/>
      <name val="Aptos Narrow"/>
      <family val="2"/>
      <scheme val="minor"/>
    </font>
    <font>
      <u/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trike/>
      <sz val="11"/>
      <color theme="0"/>
      <name val="Aptos Narrow"/>
      <family val="2"/>
      <scheme val="minor"/>
    </font>
    <font>
      <b/>
      <strike/>
      <sz val="8"/>
      <color theme="0"/>
      <name val="Aptos Narrow"/>
      <family val="2"/>
      <scheme val="minor"/>
    </font>
    <font>
      <b/>
      <sz val="12"/>
      <color rgb="FFFDF9D8"/>
      <name val="Aptos Narrow"/>
      <family val="2"/>
      <scheme val="minor"/>
    </font>
    <font>
      <b/>
      <sz val="22"/>
      <color rgb="FFFDF9D8"/>
      <name val="Aptos Narrow"/>
      <family val="2"/>
      <scheme val="minor"/>
    </font>
    <font>
      <b/>
      <sz val="26"/>
      <color rgb="FFFDF9D8"/>
      <name val="Aptos Narrow"/>
      <family val="2"/>
      <scheme val="minor"/>
    </font>
    <font>
      <b/>
      <u/>
      <sz val="22"/>
      <color rgb="FF002060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8"/>
      <color rgb="FFD80621"/>
      <name val="Aptos Narrow"/>
      <family val="2"/>
      <scheme val="minor"/>
    </font>
    <font>
      <b/>
      <sz val="8"/>
      <color rgb="FF002776"/>
      <name val="Aptos Narrow"/>
      <family val="2"/>
      <scheme val="minor"/>
    </font>
    <font>
      <b/>
      <sz val="8"/>
      <color rgb="FF006233"/>
      <name val="Aptos Narrow"/>
      <family val="2"/>
      <scheme val="minor"/>
    </font>
    <font>
      <b/>
      <sz val="8"/>
      <color rgb="FF005EB8"/>
      <name val="Aptos Narrow"/>
      <family val="2"/>
      <scheme val="minor"/>
    </font>
    <font>
      <b/>
      <sz val="8"/>
      <color rgb="FF002868"/>
      <name val="Aptos Narrow"/>
      <family val="2"/>
      <scheme val="minor"/>
    </font>
    <font>
      <b/>
      <sz val="8"/>
      <color rgb="FF034EA2"/>
      <name val="Aptos Narrow"/>
      <family val="2"/>
      <scheme val="minor"/>
    </font>
    <font>
      <b/>
      <sz val="8"/>
      <color rgb="FFF9E814"/>
      <name val="Aptos Narrow"/>
      <family val="2"/>
      <scheme val="minor"/>
    </font>
    <font>
      <b/>
      <sz val="8"/>
      <color rgb="FFBC002D"/>
      <name val="Aptos Narrow"/>
      <family val="2"/>
      <scheme val="minor"/>
    </font>
    <font>
      <b/>
      <sz val="8"/>
      <color rgb="FFFECC02"/>
      <name val="Aptos Narrow"/>
      <family val="2"/>
      <scheme val="minor"/>
    </font>
    <font>
      <b/>
      <sz val="8"/>
      <color rgb="FFFDDA24"/>
      <name val="Aptos Narrow"/>
      <family val="2"/>
      <scheme val="minor"/>
    </font>
    <font>
      <b/>
      <sz val="8"/>
      <color rgb="FFFFB612"/>
      <name val="Aptos Narrow"/>
      <family val="2"/>
      <scheme val="minor"/>
    </font>
    <font>
      <b/>
      <sz val="8"/>
      <color rgb="FFAA151B"/>
      <name val="Aptos Narrow"/>
      <family val="2"/>
      <scheme val="minor"/>
    </font>
    <font>
      <b/>
      <sz val="8"/>
      <color rgb="FFFFD100"/>
      <name val="Aptos Narrow"/>
      <family val="2"/>
      <scheme val="minor"/>
    </font>
    <font>
      <b/>
      <sz val="8"/>
      <color rgb="FFFDEF42"/>
      <name val="Aptos Narrow"/>
      <family val="2"/>
      <scheme val="minor"/>
    </font>
    <font>
      <b/>
      <sz val="8"/>
      <color rgb="FF007A3D"/>
      <name val="Aptos Narrow"/>
      <family val="2"/>
      <scheme val="minor"/>
    </font>
    <font>
      <b/>
      <sz val="8"/>
      <color rgb="FFF6B40E"/>
      <name val="Aptos Narrow"/>
      <family val="2"/>
      <scheme val="minor"/>
    </font>
    <font>
      <b/>
      <sz val="8"/>
      <color rgb="FFD21034"/>
      <name val="Aptos Narrow"/>
      <family val="2"/>
      <scheme val="minor"/>
    </font>
    <font>
      <b/>
      <sz val="8"/>
      <color rgb="FF003087"/>
      <name val="Aptos Narrow"/>
      <family val="2"/>
      <scheme val="minor"/>
    </font>
    <font>
      <b/>
      <sz val="8"/>
      <color rgb="FFFFFF00"/>
      <name val="Aptos Narrow"/>
      <family val="2"/>
      <scheme val="minor"/>
    </font>
    <font>
      <b/>
      <sz val="8"/>
      <color rgb="FFF7D618"/>
      <name val="Aptos Narrow"/>
      <family val="2"/>
      <scheme val="minor"/>
    </font>
    <font>
      <b/>
      <sz val="8"/>
      <color rgb="FFCE1124"/>
      <name val="Aptos Narrow"/>
      <family val="2"/>
      <scheme val="minor"/>
    </font>
    <font>
      <b/>
      <sz val="8"/>
      <color rgb="FFFCD20F"/>
      <name val="Aptos Narrow"/>
      <family val="2"/>
      <scheme val="minor"/>
    </font>
    <font>
      <b/>
      <sz val="8"/>
      <color rgb="FF012169"/>
      <name val="Aptos Narrow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855"/>
        <bgColor indexed="64"/>
      </patternFill>
    </fill>
    <fill>
      <patternFill patternType="solid">
        <fgColor rgb="FF8A2432"/>
        <bgColor indexed="64"/>
      </patternFill>
    </fill>
    <fill>
      <patternFill patternType="solid">
        <fgColor rgb="FF7BAFD4"/>
        <bgColor indexed="64"/>
      </patternFill>
    </fill>
    <fill>
      <patternFill patternType="solid">
        <fgColor rgb="FF14213D"/>
        <bgColor indexed="64"/>
      </patternFill>
    </fill>
    <fill>
      <patternFill patternType="solid">
        <fgColor rgb="FFBA0C2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416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mediumGray">
        <fgColor rgb="FFFF0000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lightGray">
        <fgColor rgb="FFE8000D"/>
        <bgColor theme="0"/>
      </patternFill>
    </fill>
    <fill>
      <gradientFill degree="270">
        <stop position="0">
          <color rgb="FFCD2E3A"/>
        </stop>
        <stop position="1">
          <color rgb="FF0047A0"/>
        </stop>
      </gradientFill>
    </fill>
    <fill>
      <gradientFill>
        <stop position="0">
          <color rgb="FF006847"/>
        </stop>
        <stop position="1">
          <color rgb="FFCE1125"/>
        </stop>
      </gradientFill>
    </fill>
    <fill>
      <gradientFill type="path" top="1" bottom="1">
        <stop position="0">
          <color rgb="FF11457E"/>
        </stop>
        <stop position="1">
          <color rgb="FFD7141A"/>
        </stop>
      </gradientFill>
    </fill>
    <fill>
      <gradientFill degree="90">
        <stop position="0">
          <color rgb="FFE03C31"/>
        </stop>
        <stop position="1">
          <color rgb="FF001489"/>
        </stop>
      </gradientFill>
    </fill>
    <fill>
      <gradientFill>
        <stop position="0">
          <color rgb="FFD80621"/>
        </stop>
        <stop position="0.5">
          <color theme="0"/>
        </stop>
        <stop position="1">
          <color rgb="FFD80621"/>
        </stop>
      </gradientFill>
    </fill>
    <fill>
      <patternFill patternType="solid">
        <fgColor rgb="FFDA291C"/>
        <bgColor indexed="64"/>
      </patternFill>
    </fill>
    <fill>
      <gradientFill type="path">
        <stop position="0">
          <color rgb="FFFFCD00"/>
        </stop>
        <stop position="1">
          <color rgb="FF001489"/>
        </stop>
      </gradientFill>
    </fill>
    <fill>
      <patternFill patternType="solid">
        <fgColor rgb="FF8A1538"/>
        <bgColor indexed="64"/>
      </patternFill>
    </fill>
    <fill>
      <gradientFill type="path" left="0.5" right="0.5" top="0.5" bottom="0.5">
        <stop position="0">
          <color rgb="FFFFDF00"/>
        </stop>
        <stop position="1">
          <color rgb="FF009C3B"/>
        </stop>
      </gradientFill>
    </fill>
    <fill>
      <patternFill patternType="solid">
        <fgColor rgb="FFC1272D"/>
        <bgColor indexed="64"/>
      </patternFill>
    </fill>
    <fill>
      <gradientFill degree="90">
        <stop position="0">
          <color rgb="FF005EB8"/>
        </stop>
        <stop position="0.5">
          <color theme="0"/>
        </stop>
        <stop position="1">
          <color rgb="FF005EB8"/>
        </stop>
      </gradientFill>
    </fill>
    <fill>
      <gradientFill degree="90">
        <stop position="0">
          <color rgb="FF00209F"/>
        </stop>
        <stop position="1">
          <color rgb="FFD21034"/>
        </stop>
      </gradientFill>
    </fill>
    <fill>
      <patternFill patternType="darkHorizontal">
        <fgColor rgb="FFFF0000"/>
        <bgColor auto="1"/>
      </patternFill>
    </fill>
    <fill>
      <gradientFill type="path">
        <stop position="0">
          <color rgb="FFE4002B"/>
        </stop>
        <stop position="1">
          <color rgb="FF012169"/>
        </stop>
      </gradientFill>
    </fill>
    <fill>
      <gradientFill degree="90">
        <stop position="0">
          <color rgb="FFD52B1E"/>
        </stop>
        <stop position="1">
          <color rgb="FF0038A8"/>
        </stop>
      </gradientFill>
    </fill>
    <fill>
      <patternFill patternType="solid">
        <fgColor rgb="FFE30A17"/>
        <bgColor indexed="64"/>
      </patternFill>
    </fill>
    <fill>
      <gradientFill degree="90">
        <stop position="0">
          <color rgb="FFDD0000"/>
        </stop>
        <stop position="1">
          <color rgb="FFFFCC00"/>
        </stop>
      </gradientFill>
    </fill>
    <fill>
      <gradientFill>
        <stop position="0">
          <color rgb="FFFF8200"/>
        </stop>
        <stop position="1">
          <color rgb="FF009A44"/>
        </stop>
      </gradientFill>
    </fill>
    <fill>
      <gradientFill degree="90">
        <stop position="0">
          <color rgb="FFFFDD00"/>
        </stop>
        <stop position="1">
          <color rgb="FFED1C24"/>
        </stop>
      </gradientFill>
    </fill>
    <fill>
      <patternFill patternType="solid">
        <fgColor rgb="FF002B7F"/>
        <bgColor indexed="64"/>
      </patternFill>
    </fill>
    <fill>
      <gradientFill degree="90">
        <stop position="0">
          <color rgb="FFAE1C28"/>
        </stop>
        <stop position="1">
          <color rgb="FF21468B"/>
        </stop>
      </gradientFill>
    </fill>
    <fill>
      <patternFill patternType="solid">
        <fgColor rgb="FF006AA7"/>
        <bgColor indexed="64"/>
      </patternFill>
    </fill>
    <fill>
      <patternFill patternType="solid">
        <fgColor rgb="FFE70013"/>
        <bgColor indexed="64"/>
      </patternFill>
    </fill>
    <fill>
      <gradientFill degree="90">
        <stop position="0">
          <color rgb="FFC8102E"/>
        </stop>
        <stop position="1">
          <color theme="1"/>
        </stop>
      </gradientFill>
    </fill>
    <fill>
      <gradientFill>
        <stop position="0">
          <color theme="1"/>
        </stop>
        <stop position="1">
          <color rgb="FFEF3340"/>
        </stop>
      </gradientFill>
    </fill>
    <fill>
      <gradientFill degree="90">
        <stop position="0">
          <color rgb="FF239F40"/>
        </stop>
        <stop position="1">
          <color rgb="FFDA0000"/>
        </stop>
      </gradientFill>
    </fill>
    <fill>
      <gradientFill type="path">
        <stop position="0">
          <color rgb="FFC8102E"/>
        </stop>
        <stop position="1">
          <color rgb="FF012169"/>
        </stop>
      </gradientFill>
    </fill>
    <fill>
      <gradientFill type="path" left="0.5" right="0.5" top="0.5" bottom="0.5">
        <stop position="0">
          <color rgb="FFF1BF00"/>
        </stop>
        <stop position="1">
          <color rgb="FFAA151B"/>
        </stop>
      </gradientFill>
    </fill>
    <fill>
      <gradientFill type="path" left="0.5" right="0.5" top="0.5" bottom="0.5">
        <stop position="0">
          <color rgb="FFEF3340"/>
        </stop>
        <stop position="1">
          <color rgb="FF003DA5"/>
        </stop>
      </gradientFill>
    </fill>
    <fill>
      <patternFill patternType="darkHorizontal">
        <fgColor rgb="FF0038A8"/>
      </patternFill>
    </fill>
    <fill>
      <patternFill patternType="solid">
        <fgColor rgb="FF006C35"/>
        <bgColor indexed="64"/>
      </patternFill>
    </fill>
    <fill>
      <gradientFill type="path" left="0.5" right="0.5" top="0.5" bottom="0.5">
        <stop position="0">
          <color rgb="FF00205B"/>
        </stop>
        <stop position="1">
          <color rgb="FFBA0C2F"/>
        </stop>
      </gradientFill>
    </fill>
    <fill>
      <gradientFill>
        <stop position="0">
          <color rgb="FF000091"/>
        </stop>
        <stop position="1">
          <color rgb="FFE1000F"/>
        </stop>
      </gradientFill>
    </fill>
    <fill>
      <gradientFill>
        <stop position="0">
          <color rgb="FF00853F"/>
        </stop>
        <stop position="1">
          <color rgb="FFE31B23"/>
        </stop>
      </gradientFill>
    </fill>
    <fill>
      <gradientFill degree="90">
        <stop position="0">
          <color rgb="FFCE1126"/>
        </stop>
        <stop position="1">
          <color theme="1"/>
        </stop>
      </gradientFill>
    </fill>
    <fill>
      <gradientFill type="path" left="0.5" right="0.5" top="0.5" bottom="0.5">
        <stop position="0">
          <color theme="0"/>
        </stop>
        <stop position="1">
          <color rgb="FF6CACE4"/>
        </stop>
      </gradientFill>
    </fill>
    <fill>
      <patternFill patternType="solid">
        <fgColor rgb="FFC8102E"/>
        <bgColor indexed="64"/>
      </patternFill>
    </fill>
    <fill>
      <gradientFill type="path">
        <stop position="0">
          <color rgb="FFCE1126"/>
        </stop>
        <stop position="1">
          <color rgb="FF007A3D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>
        <stop position="0">
          <color rgb="FF006633"/>
        </stop>
        <stop position="1">
          <color theme="0"/>
        </stop>
      </gradientFill>
    </fill>
    <fill>
      <gradientFill degree="90">
        <stop position="0">
          <color rgb="FFFFCD00"/>
        </stop>
        <stop position="1">
          <color rgb="FFC8102E"/>
        </stop>
      </gradientFill>
    </fill>
    <fill>
      <gradientFill>
        <stop position="0">
          <color rgb="FF006600"/>
        </stop>
        <stop position="1">
          <color rgb="FFFF0000"/>
        </stop>
      </gradientFill>
    </fill>
    <fill>
      <gradientFill degree="45">
        <stop position="0">
          <color rgb="FF009543"/>
        </stop>
        <stop position="1">
          <color rgb="FFDC241F"/>
        </stop>
      </gradientFill>
    </fill>
    <fill>
      <gradientFill degree="90">
        <stop position="0">
          <color rgb="FF0099B5"/>
        </stop>
        <stop position="1">
          <color rgb="FF1EB53A"/>
        </stop>
      </gradientFill>
    </fill>
    <fill>
      <gradientFill degree="90">
        <stop position="0">
          <color rgb="FFCF0921"/>
        </stop>
        <stop position="1">
          <color rgb="FF006B3D"/>
        </stop>
      </gradientFill>
    </fill>
    <fill>
      <gradientFill degree="135">
        <stop position="0">
          <color rgb="FFDA121A"/>
        </stop>
        <stop position="1">
          <color rgb="FF072357"/>
        </stop>
      </gradientFill>
    </fill>
    <fill>
      <patternFill patternType="lightGrid">
        <fgColor rgb="FFFF0000"/>
        <bgColor auto="1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rgb="FF002060"/>
      </right>
      <top/>
      <bottom style="thin">
        <color indexed="64"/>
      </bottom>
      <diagonal/>
    </border>
    <border>
      <left/>
      <right style="thick">
        <color rgb="FF00206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ck">
        <color rgb="FF002060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5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16" fontId="21" fillId="0" borderId="0" xfId="0" applyNumberFormat="1" applyFont="1" applyAlignment="1">
      <alignment horizontal="left" vertical="center"/>
    </xf>
    <xf numFmtId="0" fontId="24" fillId="11" borderId="2" xfId="0" applyFont="1" applyFill="1" applyBorder="1" applyAlignment="1">
      <alignment horizontal="right" vertical="center"/>
    </xf>
    <xf numFmtId="0" fontId="25" fillId="11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left" vertical="center"/>
    </xf>
    <xf numFmtId="0" fontId="24" fillId="11" borderId="1" xfId="0" applyFont="1" applyFill="1" applyBorder="1" applyAlignment="1">
      <alignment horizontal="right" vertical="center"/>
    </xf>
    <xf numFmtId="0" fontId="25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left" vertical="center"/>
    </xf>
    <xf numFmtId="0" fontId="24" fillId="11" borderId="0" xfId="0" applyFont="1" applyFill="1" applyAlignment="1">
      <alignment horizontal="right" vertical="center"/>
    </xf>
    <xf numFmtId="0" fontId="25" fillId="11" borderId="0" xfId="0" applyFont="1" applyFill="1" applyAlignment="1">
      <alignment horizontal="center" vertical="center"/>
    </xf>
    <xf numFmtId="0" fontId="24" fillId="11" borderId="0" xfId="0" applyFont="1" applyFill="1" applyAlignment="1">
      <alignment horizontal="center" vertical="center"/>
    </xf>
    <xf numFmtId="0" fontId="24" fillId="11" borderId="0" xfId="0" applyFont="1" applyFill="1" applyAlignment="1">
      <alignment horizontal="left" vertical="center"/>
    </xf>
    <xf numFmtId="16" fontId="26" fillId="11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23" fillId="1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3" fillId="12" borderId="3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" xfId="0" quotePrefix="1" applyFont="1" applyFill="1" applyBorder="1" applyAlignment="1">
      <alignment horizontal="center" vertical="center"/>
    </xf>
    <xf numFmtId="0" fontId="22" fillId="2" borderId="3" xfId="0" quotePrefix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/>
    </xf>
    <xf numFmtId="0" fontId="22" fillId="2" borderId="1" xfId="0" quotePrefix="1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3" fillId="8" borderId="0" xfId="0" quotePrefix="1" applyFont="1" applyFill="1" applyAlignment="1">
      <alignment horizontal="left" vertical="center"/>
    </xf>
    <xf numFmtId="0" fontId="3" fillId="8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7" fillId="12" borderId="0" xfId="0" applyFont="1" applyFill="1" applyAlignment="1">
      <alignment horizontal="center" vertical="center"/>
    </xf>
    <xf numFmtId="0" fontId="38" fillId="12" borderId="4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quotePrefix="1" applyFont="1" applyAlignment="1">
      <alignment horizontal="center" vertical="center"/>
    </xf>
    <xf numFmtId="0" fontId="41" fillId="12" borderId="0" xfId="0" applyFont="1" applyFill="1" applyAlignment="1">
      <alignment horizontal="center" vertical="center"/>
    </xf>
    <xf numFmtId="0" fontId="42" fillId="12" borderId="4" xfId="0" applyFont="1" applyFill="1" applyBorder="1" applyAlignment="1">
      <alignment horizontal="center" vertical="center"/>
    </xf>
    <xf numFmtId="0" fontId="23" fillId="14" borderId="0" xfId="0" applyFont="1" applyFill="1" applyAlignment="1">
      <alignment horizontal="left" vertical="center"/>
    </xf>
    <xf numFmtId="0" fontId="43" fillId="10" borderId="0" xfId="0" applyFont="1" applyFill="1" applyAlignment="1">
      <alignment horizontal="center" vertical="center"/>
    </xf>
    <xf numFmtId="0" fontId="44" fillId="10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8" fillId="0" borderId="0" xfId="0" applyFont="1"/>
    <xf numFmtId="0" fontId="49" fillId="8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15" borderId="0" xfId="0" applyFont="1" applyFill="1" applyAlignment="1">
      <alignment horizontal="center" vertical="center"/>
    </xf>
    <xf numFmtId="0" fontId="23" fillId="14" borderId="17" xfId="0" applyFont="1" applyFill="1" applyBorder="1" applyAlignment="1">
      <alignment horizontal="left" vertical="center"/>
    </xf>
    <xf numFmtId="0" fontId="44" fillId="10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quotePrefix="1" applyFont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2" fillId="12" borderId="3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3" fillId="0" borderId="23" xfId="0" applyFont="1" applyBorder="1" applyAlignment="1">
      <alignment horizontal="right" vertical="center"/>
    </xf>
    <xf numFmtId="0" fontId="3" fillId="0" borderId="23" xfId="0" applyFont="1" applyBorder="1" applyAlignment="1">
      <alignment horizontal="left" vertical="center"/>
    </xf>
    <xf numFmtId="16" fontId="3" fillId="8" borderId="0" xfId="0" applyNumberFormat="1" applyFont="1" applyFill="1" applyAlignment="1">
      <alignment horizontal="left" vertical="center"/>
    </xf>
    <xf numFmtId="0" fontId="20" fillId="8" borderId="0" xfId="0" applyFont="1" applyFill="1" applyAlignment="1">
      <alignment horizontal="right" vertical="center"/>
    </xf>
    <xf numFmtId="0" fontId="4" fillId="0" borderId="25" xfId="0" applyFont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3" fillId="8" borderId="29" xfId="0" applyFont="1" applyFill="1" applyBorder="1" applyAlignment="1">
      <alignment horizontal="center"/>
    </xf>
    <xf numFmtId="0" fontId="3" fillId="8" borderId="28" xfId="0" applyFont="1" applyFill="1" applyBorder="1" applyAlignment="1">
      <alignment horizontal="center"/>
    </xf>
    <xf numFmtId="0" fontId="3" fillId="8" borderId="32" xfId="0" applyFont="1" applyFill="1" applyBorder="1" applyAlignment="1">
      <alignment horizontal="center"/>
    </xf>
    <xf numFmtId="0" fontId="51" fillId="0" borderId="25" xfId="0" applyFont="1" applyBorder="1" applyAlignment="1">
      <alignment horizontal="center"/>
    </xf>
    <xf numFmtId="0" fontId="51" fillId="0" borderId="25" xfId="0" applyFont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left" vertical="center"/>
    </xf>
    <xf numFmtId="0" fontId="3" fillId="8" borderId="34" xfId="0" applyFont="1" applyFill="1" applyBorder="1" applyAlignment="1">
      <alignment horizontal="center" vertical="center"/>
    </xf>
    <xf numFmtId="0" fontId="26" fillId="13" borderId="37" xfId="0" applyFont="1" applyFill="1" applyBorder="1" applyAlignment="1">
      <alignment horizontal="left" vertical="center"/>
    </xf>
    <xf numFmtId="0" fontId="26" fillId="13" borderId="36" xfId="0" applyFont="1" applyFill="1" applyBorder="1" applyAlignment="1">
      <alignment horizontal="left" vertical="center"/>
    </xf>
    <xf numFmtId="0" fontId="26" fillId="13" borderId="39" xfId="0" applyFont="1" applyFill="1" applyBorder="1" applyAlignment="1">
      <alignment horizontal="left" vertical="center"/>
    </xf>
    <xf numFmtId="0" fontId="26" fillId="17" borderId="37" xfId="0" applyFont="1" applyFill="1" applyBorder="1" applyAlignment="1">
      <alignment horizontal="left" vertical="center"/>
    </xf>
    <xf numFmtId="0" fontId="26" fillId="17" borderId="39" xfId="0" applyFont="1" applyFill="1" applyBorder="1" applyAlignment="1">
      <alignment horizontal="left" vertical="center"/>
    </xf>
    <xf numFmtId="0" fontId="26" fillId="17" borderId="36" xfId="0" applyFont="1" applyFill="1" applyBorder="1" applyAlignment="1">
      <alignment horizontal="left" vertical="center"/>
    </xf>
    <xf numFmtId="0" fontId="4" fillId="15" borderId="0" xfId="0" applyFont="1" applyFill="1" applyAlignment="1">
      <alignment horizontal="center" vertical="center"/>
    </xf>
    <xf numFmtId="0" fontId="49" fillId="8" borderId="0" xfId="0" applyFont="1" applyFill="1" applyAlignment="1">
      <alignment horizontal="right" vertical="center"/>
    </xf>
    <xf numFmtId="0" fontId="5" fillId="19" borderId="43" xfId="0" applyFont="1" applyFill="1" applyBorder="1" applyAlignment="1">
      <alignment horizontal="center" vertical="center"/>
    </xf>
    <xf numFmtId="0" fontId="5" fillId="19" borderId="42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horizontal="center" vertical="center"/>
    </xf>
    <xf numFmtId="0" fontId="5" fillId="18" borderId="44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5" fillId="20" borderId="44" xfId="0" applyFont="1" applyFill="1" applyBorder="1" applyAlignment="1">
      <alignment horizontal="center" vertical="center"/>
    </xf>
    <xf numFmtId="0" fontId="60" fillId="22" borderId="44" xfId="0" applyFont="1" applyFill="1" applyBorder="1" applyAlignment="1">
      <alignment horizontal="center" vertical="center"/>
    </xf>
    <xf numFmtId="0" fontId="5" fillId="23" borderId="44" xfId="0" applyFont="1" applyFill="1" applyBorder="1" applyAlignment="1">
      <alignment horizontal="center" vertical="center"/>
    </xf>
    <xf numFmtId="0" fontId="5" fillId="24" borderId="44" xfId="0" applyFont="1" applyFill="1" applyBorder="1" applyAlignment="1">
      <alignment horizontal="center" vertical="center"/>
    </xf>
    <xf numFmtId="0" fontId="5" fillId="25" borderId="44" xfId="0" applyFont="1" applyFill="1" applyBorder="1" applyAlignment="1">
      <alignment horizontal="center" vertical="center"/>
    </xf>
    <xf numFmtId="0" fontId="61" fillId="26" borderId="44" xfId="0" applyFont="1" applyFill="1" applyBorder="1" applyAlignment="1">
      <alignment horizontal="center" vertical="center"/>
    </xf>
    <xf numFmtId="0" fontId="59" fillId="16" borderId="0" xfId="0" applyFont="1" applyFill="1" applyAlignment="1">
      <alignment horizontal="center" vertical="center"/>
    </xf>
    <xf numFmtId="0" fontId="62" fillId="27" borderId="44" xfId="0" applyFont="1" applyFill="1" applyBorder="1" applyAlignment="1">
      <alignment horizontal="center" vertical="center"/>
    </xf>
    <xf numFmtId="0" fontId="63" fillId="28" borderId="44" xfId="0" applyFont="1" applyFill="1" applyBorder="1" applyAlignment="1">
      <alignment horizontal="center" vertical="center"/>
    </xf>
    <xf numFmtId="0" fontId="5" fillId="29" borderId="44" xfId="0" applyFont="1" applyFill="1" applyBorder="1" applyAlignment="1">
      <alignment horizontal="center" vertical="center"/>
    </xf>
    <xf numFmtId="0" fontId="64" fillId="30" borderId="44" xfId="0" applyFont="1" applyFill="1" applyBorder="1" applyAlignment="1">
      <alignment horizontal="center" vertical="center"/>
    </xf>
    <xf numFmtId="0" fontId="64" fillId="30" borderId="43" xfId="0" applyFont="1" applyFill="1" applyBorder="1" applyAlignment="1">
      <alignment horizontal="center" vertical="center"/>
    </xf>
    <xf numFmtId="0" fontId="5" fillId="31" borderId="44" xfId="0" applyFont="1" applyFill="1" applyBorder="1" applyAlignment="1">
      <alignment horizontal="center" vertical="center"/>
    </xf>
    <xf numFmtId="0" fontId="5" fillId="32" borderId="44" xfId="0" applyFont="1" applyFill="1" applyBorder="1" applyAlignment="1">
      <alignment horizontal="center" vertical="center"/>
    </xf>
    <xf numFmtId="0" fontId="5" fillId="33" borderId="44" xfId="0" applyFont="1" applyFill="1" applyBorder="1" applyAlignment="1">
      <alignment horizontal="center" vertical="center"/>
    </xf>
    <xf numFmtId="0" fontId="4" fillId="34" borderId="43" xfId="0" applyFont="1" applyFill="1" applyBorder="1" applyAlignment="1">
      <alignment horizontal="center" vertical="center"/>
    </xf>
    <xf numFmtId="0" fontId="4" fillId="34" borderId="44" xfId="0" applyFont="1" applyFill="1" applyBorder="1" applyAlignment="1">
      <alignment horizontal="center" vertical="center"/>
    </xf>
    <xf numFmtId="0" fontId="5" fillId="35" borderId="44" xfId="0" applyFont="1" applyFill="1" applyBorder="1" applyAlignment="1">
      <alignment horizontal="center" vertical="center"/>
    </xf>
    <xf numFmtId="0" fontId="65" fillId="36" borderId="44" xfId="0" applyFont="1" applyFill="1" applyBorder="1" applyAlignment="1">
      <alignment horizontal="center" vertical="center"/>
    </xf>
    <xf numFmtId="0" fontId="66" fillId="37" borderId="44" xfId="0" applyFont="1" applyFill="1" applyBorder="1" applyAlignment="1">
      <alignment horizontal="center" vertical="center"/>
    </xf>
    <xf numFmtId="0" fontId="5" fillId="38" borderId="44" xfId="0" applyFont="1" applyFill="1" applyBorder="1" applyAlignment="1">
      <alignment horizontal="center" vertical="center"/>
    </xf>
    <xf numFmtId="0" fontId="67" fillId="0" borderId="44" xfId="0" applyFont="1" applyBorder="1" applyAlignment="1">
      <alignment horizontal="center" vertical="center"/>
    </xf>
    <xf numFmtId="0" fontId="68" fillId="39" borderId="44" xfId="0" applyFont="1" applyFill="1" applyBorder="1" applyAlignment="1">
      <alignment horizontal="center" vertical="center"/>
    </xf>
    <xf numFmtId="0" fontId="5" fillId="40" borderId="44" xfId="0" applyFont="1" applyFill="1" applyBorder="1" applyAlignment="1">
      <alignment horizontal="center" vertical="center"/>
    </xf>
    <xf numFmtId="0" fontId="5" fillId="41" borderId="44" xfId="0" applyFont="1" applyFill="1" applyBorder="1" applyAlignment="1">
      <alignment horizontal="center" vertical="center"/>
    </xf>
    <xf numFmtId="0" fontId="69" fillId="42" borderId="44" xfId="0" applyFont="1" applyFill="1" applyBorder="1" applyAlignment="1">
      <alignment horizontal="center" vertical="center"/>
    </xf>
    <xf numFmtId="0" fontId="70" fillId="21" borderId="44" xfId="0" applyFont="1" applyFill="1" applyBorder="1" applyAlignment="1">
      <alignment horizontal="center" vertical="center"/>
    </xf>
    <xf numFmtId="0" fontId="5" fillId="43" borderId="44" xfId="0" applyFont="1" applyFill="1" applyBorder="1" applyAlignment="1">
      <alignment horizontal="center" vertical="center"/>
    </xf>
    <xf numFmtId="0" fontId="5" fillId="44" borderId="44" xfId="0" applyFont="1" applyFill="1" applyBorder="1" applyAlignment="1">
      <alignment horizontal="center" vertical="center"/>
    </xf>
    <xf numFmtId="0" fontId="71" fillId="45" borderId="44" xfId="0" applyFont="1" applyFill="1" applyBorder="1" applyAlignment="1">
      <alignment horizontal="center" vertical="center"/>
    </xf>
    <xf numFmtId="0" fontId="72" fillId="46" borderId="44" xfId="0" applyFont="1" applyFill="1" applyBorder="1" applyAlignment="1">
      <alignment horizontal="center" vertical="center"/>
    </xf>
    <xf numFmtId="0" fontId="5" fillId="47" borderId="44" xfId="0" applyFont="1" applyFill="1" applyBorder="1" applyAlignment="1">
      <alignment horizontal="center" vertical="center"/>
    </xf>
    <xf numFmtId="0" fontId="5" fillId="48" borderId="44" xfId="0" applyFont="1" applyFill="1" applyBorder="1" applyAlignment="1">
      <alignment horizontal="center" vertical="center"/>
    </xf>
    <xf numFmtId="0" fontId="5" fillId="49" borderId="44" xfId="0" applyFont="1" applyFill="1" applyBorder="1" applyAlignment="1">
      <alignment horizontal="center" vertical="center"/>
    </xf>
    <xf numFmtId="0" fontId="5" fillId="50" borderId="44" xfId="0" applyFont="1" applyFill="1" applyBorder="1" applyAlignment="1">
      <alignment horizontal="center" vertical="center"/>
    </xf>
    <xf numFmtId="0" fontId="73" fillId="51" borderId="44" xfId="0" applyFont="1" applyFill="1" applyBorder="1" applyAlignment="1">
      <alignment horizontal="center" vertical="center"/>
    </xf>
    <xf numFmtId="0" fontId="74" fillId="52" borderId="44" xfId="0" applyFont="1" applyFill="1" applyBorder="1" applyAlignment="1">
      <alignment horizontal="center" vertical="center"/>
    </xf>
    <xf numFmtId="0" fontId="75" fillId="53" borderId="44" xfId="0" applyFont="1" applyFill="1" applyBorder="1" applyAlignment="1">
      <alignment horizontal="center" vertical="center"/>
    </xf>
    <xf numFmtId="0" fontId="5" fillId="54" borderId="44" xfId="0" applyFont="1" applyFill="1" applyBorder="1" applyAlignment="1">
      <alignment horizontal="center" vertical="center"/>
    </xf>
    <xf numFmtId="0" fontId="5" fillId="55" borderId="44" xfId="0" applyFont="1" applyFill="1" applyBorder="1" applyAlignment="1">
      <alignment horizontal="center" vertical="center"/>
    </xf>
    <xf numFmtId="0" fontId="75" fillId="53" borderId="25" xfId="0" applyFont="1" applyFill="1" applyBorder="1" applyAlignment="1">
      <alignment horizontal="center" vertical="center"/>
    </xf>
    <xf numFmtId="0" fontId="2" fillId="56" borderId="0" xfId="0" applyFont="1" applyFill="1" applyAlignment="1">
      <alignment horizontal="center" vertical="center"/>
    </xf>
    <xf numFmtId="0" fontId="2" fillId="56" borderId="0" xfId="0" applyFont="1" applyFill="1" applyAlignment="1">
      <alignment horizontal="center"/>
    </xf>
    <xf numFmtId="0" fontId="20" fillId="56" borderId="0" xfId="0" applyFont="1" applyFill="1" applyAlignment="1">
      <alignment horizontal="center"/>
    </xf>
    <xf numFmtId="0" fontId="0" fillId="15" borderId="45" xfId="0" applyFill="1" applyBorder="1" applyAlignment="1">
      <alignment horizontal="center" vertical="center"/>
    </xf>
    <xf numFmtId="0" fontId="0" fillId="15" borderId="33" xfId="0" applyFill="1" applyBorder="1" applyAlignment="1">
      <alignment horizontal="center"/>
    </xf>
    <xf numFmtId="0" fontId="0" fillId="15" borderId="35" xfId="0" applyFill="1" applyBorder="1" applyAlignment="1">
      <alignment horizontal="center"/>
    </xf>
    <xf numFmtId="0" fontId="1" fillId="57" borderId="31" xfId="0" applyFont="1" applyFill="1" applyBorder="1" applyAlignment="1">
      <alignment horizontal="center" vertical="center"/>
    </xf>
    <xf numFmtId="0" fontId="1" fillId="57" borderId="30" xfId="0" applyFont="1" applyFill="1" applyBorder="1" applyAlignment="1">
      <alignment horizontal="center"/>
    </xf>
    <xf numFmtId="0" fontId="1" fillId="57" borderId="36" xfId="0" applyFont="1" applyFill="1" applyBorder="1" applyAlignment="1">
      <alignment horizontal="center"/>
    </xf>
    <xf numFmtId="0" fontId="76" fillId="58" borderId="44" xfId="0" applyFont="1" applyFill="1" applyBorder="1" applyAlignment="1">
      <alignment horizontal="center" vertical="center"/>
    </xf>
    <xf numFmtId="0" fontId="77" fillId="59" borderId="44" xfId="0" applyFont="1" applyFill="1" applyBorder="1" applyAlignment="1">
      <alignment horizontal="center" vertical="center"/>
    </xf>
    <xf numFmtId="0" fontId="78" fillId="60" borderId="44" xfId="0" applyFont="1" applyFill="1" applyBorder="1" applyAlignment="1">
      <alignment horizontal="center" vertical="center"/>
    </xf>
    <xf numFmtId="0" fontId="79" fillId="61" borderId="44" xfId="0" applyFont="1" applyFill="1" applyBorder="1" applyAlignment="1">
      <alignment horizontal="center" vertical="center"/>
    </xf>
    <xf numFmtId="0" fontId="5" fillId="62" borderId="44" xfId="0" applyFont="1" applyFill="1" applyBorder="1" applyAlignment="1">
      <alignment horizontal="center" vertical="center"/>
    </xf>
    <xf numFmtId="0" fontId="80" fillId="0" borderId="44" xfId="0" applyFont="1" applyBorder="1" applyAlignment="1">
      <alignment horizontal="center" vertical="center"/>
    </xf>
    <xf numFmtId="0" fontId="81" fillId="63" borderId="44" xfId="0" applyFont="1" applyFill="1" applyBorder="1" applyAlignment="1">
      <alignment horizontal="center" vertical="center"/>
    </xf>
    <xf numFmtId="0" fontId="5" fillId="64" borderId="44" xfId="0" applyFont="1" applyFill="1" applyBorder="1" applyAlignment="1">
      <alignment horizontal="center" vertical="center"/>
    </xf>
    <xf numFmtId="0" fontId="82" fillId="65" borderId="44" xfId="0" applyFont="1" applyFill="1" applyBorder="1" applyAlignment="1">
      <alignment horizontal="center" vertical="center"/>
    </xf>
    <xf numFmtId="0" fontId="25" fillId="17" borderId="40" xfId="0" applyFont="1" applyFill="1" applyBorder="1" applyAlignment="1">
      <alignment horizontal="center" vertical="center"/>
    </xf>
    <xf numFmtId="0" fontId="25" fillId="17" borderId="30" xfId="0" applyFont="1" applyFill="1" applyBorder="1" applyAlignment="1">
      <alignment horizontal="center" vertical="center"/>
    </xf>
    <xf numFmtId="0" fontId="25" fillId="17" borderId="38" xfId="0" applyFont="1" applyFill="1" applyBorder="1" applyAlignment="1">
      <alignment horizontal="center" vertical="center"/>
    </xf>
    <xf numFmtId="0" fontId="50" fillId="0" borderId="30" xfId="0" applyFont="1" applyBorder="1" applyAlignment="1">
      <alignment horizontal="center"/>
    </xf>
    <xf numFmtId="0" fontId="4" fillId="13" borderId="40" xfId="0" applyFont="1" applyFill="1" applyBorder="1" applyAlignment="1">
      <alignment horizontal="center" vertical="center"/>
    </xf>
    <xf numFmtId="0" fontId="4" fillId="13" borderId="3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13" borderId="38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0" fillId="15" borderId="23" xfId="0" applyFill="1" applyBorder="1" applyAlignment="1">
      <alignment horizontal="left"/>
    </xf>
    <xf numFmtId="0" fontId="0" fillId="15" borderId="24" xfId="0" applyFill="1" applyBorder="1" applyAlignment="1">
      <alignment horizontal="left"/>
    </xf>
    <xf numFmtId="0" fontId="47" fillId="0" borderId="22" xfId="0" applyFont="1" applyBorder="1" applyAlignment="1">
      <alignment horizontal="left"/>
    </xf>
    <xf numFmtId="0" fontId="47" fillId="0" borderId="23" xfId="0" applyFont="1" applyBorder="1" applyAlignment="1">
      <alignment horizontal="left"/>
    </xf>
    <xf numFmtId="0" fontId="47" fillId="0" borderId="24" xfId="0" applyFont="1" applyBorder="1" applyAlignment="1">
      <alignment horizontal="left"/>
    </xf>
    <xf numFmtId="0" fontId="4" fillId="15" borderId="22" xfId="0" applyFont="1" applyFill="1" applyBorder="1" applyAlignment="1">
      <alignment horizontal="left"/>
    </xf>
    <xf numFmtId="0" fontId="4" fillId="15" borderId="23" xfId="0" applyFont="1" applyFill="1" applyBorder="1" applyAlignment="1">
      <alignment horizontal="left"/>
    </xf>
    <xf numFmtId="0" fontId="4" fillId="15" borderId="24" xfId="0" applyFont="1" applyFill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5" fillId="57" borderId="23" xfId="0" applyFont="1" applyFill="1" applyBorder="1" applyAlignment="1">
      <alignment horizontal="left"/>
    </xf>
    <xf numFmtId="0" fontId="5" fillId="57" borderId="24" xfId="0" applyFont="1" applyFill="1" applyBorder="1" applyAlignment="1">
      <alignment horizontal="left"/>
    </xf>
    <xf numFmtId="0" fontId="56" fillId="9" borderId="15" xfId="0" applyFont="1" applyFill="1" applyBorder="1" applyAlignment="1">
      <alignment horizontal="center"/>
    </xf>
    <xf numFmtId="0" fontId="56" fillId="9" borderId="16" xfId="0" applyFont="1" applyFill="1" applyBorder="1" applyAlignment="1">
      <alignment horizontal="center"/>
    </xf>
    <xf numFmtId="0" fontId="55" fillId="9" borderId="41" xfId="0" applyFont="1" applyFill="1" applyBorder="1" applyAlignment="1">
      <alignment horizontal="center" vertical="top" wrapText="1"/>
    </xf>
    <xf numFmtId="0" fontId="57" fillId="0" borderId="0" xfId="0" applyFont="1" applyAlignment="1">
      <alignment horizontal="center"/>
    </xf>
    <xf numFmtId="0" fontId="11" fillId="9" borderId="7" xfId="0" applyFont="1" applyFill="1" applyBorder="1" applyAlignment="1">
      <alignment horizontal="right" vertical="center"/>
    </xf>
    <xf numFmtId="0" fontId="11" fillId="9" borderId="8" xfId="0" applyFont="1" applyFill="1" applyBorder="1" applyAlignment="1">
      <alignment horizontal="right" vertical="center"/>
    </xf>
    <xf numFmtId="0" fontId="11" fillId="9" borderId="10" xfId="0" applyFont="1" applyFill="1" applyBorder="1" applyAlignment="1">
      <alignment horizontal="right" vertical="center"/>
    </xf>
    <xf numFmtId="0" fontId="9" fillId="8" borderId="7" xfId="0" applyFont="1" applyFill="1" applyBorder="1" applyAlignment="1">
      <alignment horizontal="right" vertical="center"/>
    </xf>
    <xf numFmtId="0" fontId="9" fillId="8" borderId="8" xfId="0" applyFont="1" applyFill="1" applyBorder="1" applyAlignment="1">
      <alignment horizontal="right" vertical="center"/>
    </xf>
    <xf numFmtId="0" fontId="10" fillId="8" borderId="7" xfId="0" applyFont="1" applyFill="1" applyBorder="1" applyAlignment="1">
      <alignment horizontal="right" vertical="center"/>
    </xf>
    <xf numFmtId="0" fontId="10" fillId="8" borderId="8" xfId="0" applyFont="1" applyFill="1" applyBorder="1" applyAlignment="1">
      <alignment horizontal="right" vertical="center"/>
    </xf>
    <xf numFmtId="0" fontId="2" fillId="7" borderId="7" xfId="0" applyFont="1" applyFill="1" applyBorder="1" applyAlignment="1">
      <alignment horizontal="right" vertical="center"/>
    </xf>
    <xf numFmtId="0" fontId="2" fillId="7" borderId="10" xfId="0" applyFont="1" applyFill="1" applyBorder="1" applyAlignment="1">
      <alignment horizontal="right" vertical="center"/>
    </xf>
    <xf numFmtId="0" fontId="2" fillId="7" borderId="8" xfId="0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9" xfId="0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right" vertical="center"/>
    </xf>
    <xf numFmtId="0" fontId="7" fillId="4" borderId="6" xfId="0" applyFont="1" applyFill="1" applyBorder="1" applyAlignment="1">
      <alignment horizontal="right" vertical="center"/>
    </xf>
    <xf numFmtId="0" fontId="18" fillId="6" borderId="5" xfId="0" applyFont="1" applyFill="1" applyBorder="1" applyAlignment="1">
      <alignment horizontal="right" vertical="center"/>
    </xf>
    <xf numFmtId="0" fontId="18" fillId="6" borderId="6" xfId="0" applyFont="1" applyFill="1" applyBorder="1" applyAlignment="1">
      <alignment horizontal="right" vertical="center"/>
    </xf>
    <xf numFmtId="0" fontId="29" fillId="4" borderId="7" xfId="0" applyFont="1" applyFill="1" applyBorder="1" applyAlignment="1">
      <alignment horizontal="right" vertical="center"/>
    </xf>
    <xf numFmtId="0" fontId="29" fillId="4" borderId="10" xfId="0" applyFont="1" applyFill="1" applyBorder="1" applyAlignment="1">
      <alignment horizontal="right" vertical="center"/>
    </xf>
    <xf numFmtId="0" fontId="29" fillId="4" borderId="8" xfId="0" applyFont="1" applyFill="1" applyBorder="1" applyAlignment="1">
      <alignment horizontal="right" vertical="center"/>
    </xf>
    <xf numFmtId="0" fontId="1" fillId="5" borderId="7" xfId="0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right" vertical="center"/>
    </xf>
    <xf numFmtId="0" fontId="8" fillId="6" borderId="6" xfId="0" applyFont="1" applyFill="1" applyBorder="1" applyAlignment="1">
      <alignment horizontal="right" vertical="center"/>
    </xf>
    <xf numFmtId="0" fontId="1" fillId="5" borderId="10" xfId="0" applyFont="1" applyFill="1" applyBorder="1" applyAlignment="1">
      <alignment horizontal="right" vertical="center"/>
    </xf>
    <xf numFmtId="0" fontId="11" fillId="9" borderId="19" xfId="0" applyFont="1" applyFill="1" applyBorder="1" applyAlignment="1">
      <alignment horizontal="right" vertical="center"/>
    </xf>
    <xf numFmtId="0" fontId="11" fillId="9" borderId="20" xfId="0" applyFont="1" applyFill="1" applyBorder="1" applyAlignment="1">
      <alignment horizontal="right" vertical="center"/>
    </xf>
    <xf numFmtId="0" fontId="52" fillId="5" borderId="7" xfId="0" applyFont="1" applyFill="1" applyBorder="1" applyAlignment="1">
      <alignment horizontal="right" vertical="center"/>
    </xf>
    <xf numFmtId="0" fontId="52" fillId="5" borderId="10" xfId="0" applyFont="1" applyFill="1" applyBorder="1" applyAlignment="1">
      <alignment horizontal="right" vertical="center"/>
    </xf>
    <xf numFmtId="0" fontId="27" fillId="8" borderId="7" xfId="0" applyFont="1" applyFill="1" applyBorder="1" applyAlignment="1">
      <alignment horizontal="right" vertical="center"/>
    </xf>
    <xf numFmtId="0" fontId="27" fillId="8" borderId="8" xfId="0" applyFont="1" applyFill="1" applyBorder="1" applyAlignment="1">
      <alignment horizontal="right" vertical="center"/>
    </xf>
    <xf numFmtId="0" fontId="31" fillId="8" borderId="7" xfId="0" applyFont="1" applyFill="1" applyBorder="1" applyAlignment="1">
      <alignment horizontal="right" vertical="center"/>
    </xf>
    <xf numFmtId="0" fontId="31" fillId="8" borderId="10" xfId="0" applyFont="1" applyFill="1" applyBorder="1" applyAlignment="1">
      <alignment horizontal="right" vertical="center"/>
    </xf>
    <xf numFmtId="0" fontId="31" fillId="8" borderId="8" xfId="0" applyFont="1" applyFill="1" applyBorder="1" applyAlignment="1">
      <alignment horizontal="right" vertical="center"/>
    </xf>
    <xf numFmtId="0" fontId="6" fillId="3" borderId="11" xfId="0" applyFont="1" applyFill="1" applyBorder="1" applyAlignment="1">
      <alignment horizontal="right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right" vertical="center"/>
    </xf>
    <xf numFmtId="0" fontId="1" fillId="5" borderId="14" xfId="0" applyFont="1" applyFill="1" applyBorder="1" applyAlignment="1">
      <alignment horizontal="right" vertical="center"/>
    </xf>
    <xf numFmtId="0" fontId="1" fillId="5" borderId="15" xfId="0" applyFont="1" applyFill="1" applyBorder="1" applyAlignment="1">
      <alignment horizontal="right" vertical="center"/>
    </xf>
    <xf numFmtId="0" fontId="1" fillId="5" borderId="16" xfId="0" applyFont="1" applyFill="1" applyBorder="1" applyAlignment="1">
      <alignment horizontal="right" vertical="center"/>
    </xf>
    <xf numFmtId="0" fontId="33" fillId="3" borderId="7" xfId="0" applyFont="1" applyFill="1" applyBorder="1" applyAlignment="1">
      <alignment horizontal="right" vertical="center"/>
    </xf>
    <xf numFmtId="0" fontId="33" fillId="3" borderId="10" xfId="0" applyFont="1" applyFill="1" applyBorder="1" applyAlignment="1">
      <alignment horizontal="right" vertical="center"/>
    </xf>
    <xf numFmtId="0" fontId="33" fillId="3" borderId="18" xfId="0" applyFont="1" applyFill="1" applyBorder="1" applyAlignment="1">
      <alignment horizontal="right" vertical="center"/>
    </xf>
    <xf numFmtId="0" fontId="11" fillId="9" borderId="21" xfId="0" applyFont="1" applyFill="1" applyBorder="1" applyAlignment="1">
      <alignment horizontal="right" vertical="center"/>
    </xf>
    <xf numFmtId="0" fontId="45" fillId="7" borderId="7" xfId="0" applyFont="1" applyFill="1" applyBorder="1" applyAlignment="1">
      <alignment horizontal="right" vertical="center"/>
    </xf>
    <xf numFmtId="0" fontId="45" fillId="7" borderId="10" xfId="0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color rgb="FFFFDF00"/>
      </font>
    </dxf>
  </dxfs>
  <tableStyles count="0" defaultTableStyle="TableStyleMedium2" defaultPivotStyle="PivotStyleLight16"/>
  <colors>
    <mruColors>
      <color rgb="FF012169"/>
      <color rgb="FFFF0000"/>
      <color rgb="FF072357"/>
      <color rgb="FFDA121A"/>
      <color rgb="FFFCD20F"/>
      <color rgb="FF006B3D"/>
      <color rgb="FFCF0921"/>
      <color rgb="FFCE1124"/>
      <color rgb="FF1EB53A"/>
      <color rgb="FF0099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k Ceraso" id="{36FE76FB-8B46-42E7-BCD9-C8AB5DDE73C4}" userId="13c7e9465f9473d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6-06-23T20:41:44.55" personId="{36FE76FB-8B46-42E7-BCD9-C8AB5DDE73C4}" id="{3A858358-FFFB-4820-8315-41A12D0CD2B2}">
    <text>FIFA world ranking pre-tourney</text>
  </threadedComment>
  <threadedComment ref="I2" dT="2026-06-23T20:49:35.41" personId="{36FE76FB-8B46-42E7-BCD9-C8AB5DDE73C4}" id="{1F683622-16EF-4E6D-9EEC-B58F5E09EEDF}">
    <text>Ranked tourney results - Pts, then +/-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8971-4335-4D40-893A-F17B8C41CEF2}">
  <dimension ref="A1:BQ112"/>
  <sheetViews>
    <sheetView tabSelected="1" topLeftCell="AO1" zoomScale="132" zoomScaleNormal="145" workbookViewId="0">
      <selection activeCell="I39" sqref="I39:M39"/>
    </sheetView>
  </sheetViews>
  <sheetFormatPr defaultRowHeight="10.8" x14ac:dyDescent="0.3"/>
  <cols>
    <col min="1" max="1" width="1.88671875" style="2" customWidth="1"/>
    <col min="2" max="2" width="9" style="2" bestFit="1" customWidth="1"/>
    <col min="3" max="3" width="2.6640625" style="2" bestFit="1" customWidth="1"/>
    <col min="4" max="4" width="2.21875" style="2" bestFit="1" customWidth="1"/>
    <col min="5" max="5" width="2" style="2" bestFit="1" customWidth="1"/>
    <col min="6" max="6" width="1.88671875" style="2" bestFit="1" customWidth="1"/>
    <col min="7" max="7" width="2.77734375" style="2" bestFit="1" customWidth="1"/>
    <col min="8" max="8" width="2.6640625" style="2" bestFit="1" customWidth="1"/>
    <col min="9" max="9" width="8.77734375" style="2" bestFit="1" customWidth="1"/>
    <col min="10" max="10" width="2.6640625" style="2" bestFit="1" customWidth="1"/>
    <col min="11" max="11" width="2.21875" style="1" bestFit="1" customWidth="1"/>
    <col min="12" max="12" width="2" style="1" bestFit="1" customWidth="1"/>
    <col min="13" max="13" width="1.88671875" style="1" bestFit="1" customWidth="1"/>
    <col min="14" max="14" width="2.77734375" style="1" bestFit="1" customWidth="1"/>
    <col min="15" max="15" width="2.5546875" style="1" bestFit="1" customWidth="1"/>
    <col min="16" max="16" width="9.44140625" style="2" bestFit="1" customWidth="1"/>
    <col min="17" max="17" width="2.6640625" style="1" bestFit="1" customWidth="1"/>
    <col min="18" max="18" width="2.21875" style="1" bestFit="1" customWidth="1"/>
    <col min="19" max="20" width="1.88671875" style="1" bestFit="1" customWidth="1"/>
    <col min="21" max="21" width="2.77734375" style="1" bestFit="1" customWidth="1"/>
    <col min="22" max="22" width="2.5546875" style="1" bestFit="1" customWidth="1"/>
    <col min="23" max="23" width="9.21875" style="2" bestFit="1" customWidth="1"/>
    <col min="24" max="24" width="2.6640625" style="1" bestFit="1" customWidth="1"/>
    <col min="25" max="25" width="2.21875" style="1" bestFit="1" customWidth="1"/>
    <col min="26" max="27" width="1.88671875" style="1" bestFit="1" customWidth="1"/>
    <col min="28" max="28" width="2.77734375" style="1" bestFit="1" customWidth="1"/>
    <col min="29" max="29" width="2.5546875" style="1" bestFit="1" customWidth="1"/>
    <col min="30" max="30" width="2.44140625" style="2" customWidth="1"/>
    <col min="31" max="31" width="10" style="2" bestFit="1" customWidth="1"/>
    <col min="32" max="32" width="2.21875" style="7" bestFit="1" customWidth="1"/>
    <col min="33" max="33" width="2.33203125" style="1" bestFit="1" customWidth="1"/>
    <col min="34" max="34" width="2.21875" style="7" bestFit="1" customWidth="1"/>
    <col min="35" max="35" width="10.33203125" style="2" bestFit="1" customWidth="1"/>
    <col min="36" max="36" width="0.5546875" style="2" customWidth="1"/>
    <col min="37" max="37" width="5.44140625" style="17" customWidth="1"/>
    <col min="38" max="40" width="2.88671875" style="2" customWidth="1"/>
    <col min="41" max="52" width="13.33203125" style="2" customWidth="1"/>
    <col min="53" max="16384" width="8.88671875" style="2"/>
  </cols>
  <sheetData>
    <row r="1" spans="1:69" ht="11.4" thickBot="1" x14ac:dyDescent="0.35">
      <c r="A1" s="49"/>
      <c r="B1" s="42" t="s">
        <v>67</v>
      </c>
      <c r="C1" s="43" t="s">
        <v>52</v>
      </c>
      <c r="D1" s="43" t="s">
        <v>49</v>
      </c>
      <c r="E1" s="43" t="s">
        <v>66</v>
      </c>
      <c r="F1" s="44" t="s">
        <v>50</v>
      </c>
      <c r="G1" s="43" t="s">
        <v>65</v>
      </c>
      <c r="H1" s="45" t="s">
        <v>51</v>
      </c>
      <c r="I1" s="48" t="s">
        <v>68</v>
      </c>
      <c r="J1" s="32" t="s">
        <v>52</v>
      </c>
      <c r="K1" s="43" t="s">
        <v>49</v>
      </c>
      <c r="L1" s="43" t="s">
        <v>66</v>
      </c>
      <c r="M1" s="44" t="s">
        <v>50</v>
      </c>
      <c r="N1" s="43" t="s">
        <v>65</v>
      </c>
      <c r="O1" s="45" t="s">
        <v>51</v>
      </c>
      <c r="P1" s="37" t="s">
        <v>69</v>
      </c>
      <c r="Q1" s="43" t="s">
        <v>52</v>
      </c>
      <c r="R1" s="46" t="s">
        <v>49</v>
      </c>
      <c r="S1" s="46" t="s">
        <v>66</v>
      </c>
      <c r="T1" s="47" t="s">
        <v>50</v>
      </c>
      <c r="U1" s="46" t="s">
        <v>65</v>
      </c>
      <c r="V1" s="45" t="s">
        <v>51</v>
      </c>
      <c r="W1" s="37" t="s">
        <v>70</v>
      </c>
      <c r="X1" s="43" t="s">
        <v>52</v>
      </c>
      <c r="Y1" s="46" t="s">
        <v>49</v>
      </c>
      <c r="Z1" s="46" t="s">
        <v>66</v>
      </c>
      <c r="AA1" s="47" t="s">
        <v>50</v>
      </c>
      <c r="AB1" s="46" t="s">
        <v>65</v>
      </c>
      <c r="AC1" s="45" t="s">
        <v>51</v>
      </c>
      <c r="AD1" s="52"/>
      <c r="AE1" s="185" t="s">
        <v>53</v>
      </c>
      <c r="AF1" s="185"/>
      <c r="AG1" s="185"/>
      <c r="AH1" s="185"/>
      <c r="AI1" s="185"/>
      <c r="AJ1" s="50"/>
      <c r="AL1" s="50"/>
      <c r="AM1" s="50"/>
      <c r="AN1" s="50"/>
      <c r="AO1" s="51"/>
      <c r="AP1" s="51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</row>
    <row r="2" spans="1:69" ht="11.4" thickBot="1" x14ac:dyDescent="0.3">
      <c r="A2" s="49"/>
      <c r="B2" s="55" t="s">
        <v>0</v>
      </c>
      <c r="C2" s="66">
        <v>14</v>
      </c>
      <c r="D2" s="56">
        <v>2</v>
      </c>
      <c r="E2" s="57">
        <v>0</v>
      </c>
      <c r="F2" s="58">
        <v>0</v>
      </c>
      <c r="G2" s="59">
        <v>6</v>
      </c>
      <c r="H2" s="60">
        <v>3</v>
      </c>
      <c r="I2" s="15" t="s">
        <v>3</v>
      </c>
      <c r="J2" s="13">
        <v>30</v>
      </c>
      <c r="K2" s="11">
        <v>1</v>
      </c>
      <c r="L2" s="11">
        <v>1</v>
      </c>
      <c r="M2" s="33">
        <v>0</v>
      </c>
      <c r="N2" s="35">
        <v>4</v>
      </c>
      <c r="O2" s="36">
        <v>6</v>
      </c>
      <c r="P2" s="15" t="s">
        <v>7</v>
      </c>
      <c r="Q2" s="13">
        <v>6</v>
      </c>
      <c r="R2" s="11">
        <v>1</v>
      </c>
      <c r="S2" s="11">
        <v>1</v>
      </c>
      <c r="T2" s="33">
        <v>0</v>
      </c>
      <c r="U2" s="35">
        <v>4</v>
      </c>
      <c r="V2" s="36">
        <v>3</v>
      </c>
      <c r="W2" s="55" t="s">
        <v>11</v>
      </c>
      <c r="X2" s="13">
        <v>17</v>
      </c>
      <c r="Y2" s="56">
        <v>2</v>
      </c>
      <c r="Z2" s="57">
        <v>0</v>
      </c>
      <c r="AA2" s="58">
        <v>0</v>
      </c>
      <c r="AB2" s="59">
        <v>6</v>
      </c>
      <c r="AC2" s="60">
        <v>5</v>
      </c>
      <c r="AD2" s="50"/>
      <c r="AE2" s="19" t="s">
        <v>0</v>
      </c>
      <c r="AF2" s="20">
        <v>2</v>
      </c>
      <c r="AG2" s="21" t="s">
        <v>47</v>
      </c>
      <c r="AH2" s="20">
        <v>0</v>
      </c>
      <c r="AI2" s="22" t="s">
        <v>1</v>
      </c>
      <c r="AJ2" s="50"/>
      <c r="AK2" s="31">
        <v>46184</v>
      </c>
      <c r="AL2" s="50"/>
      <c r="AM2" s="50"/>
      <c r="AN2" s="50"/>
      <c r="AO2" s="135" t="str">
        <f>VLOOKUP($AE72,$N$17:$O$64,2,FALSE)</f>
        <v>GERMANY</v>
      </c>
      <c r="AP2" s="72"/>
      <c r="AQ2" s="50"/>
      <c r="AR2" s="50"/>
      <c r="AS2" s="50"/>
      <c r="AT2" s="50"/>
      <c r="AU2" s="50"/>
      <c r="AV2" s="95"/>
      <c r="AW2" s="95"/>
      <c r="AX2" s="95"/>
      <c r="AY2" s="72"/>
      <c r="AZ2" s="100" t="str">
        <f>VLOOKUP($AE71,$N$17:$O$64,2,FALSE)</f>
        <v>BRAZIL</v>
      </c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</row>
    <row r="3" spans="1:69" ht="11.4" thickBot="1" x14ac:dyDescent="0.3">
      <c r="A3" s="49"/>
      <c r="B3" s="15" t="s">
        <v>48</v>
      </c>
      <c r="C3" s="13">
        <v>25</v>
      </c>
      <c r="D3" s="11">
        <v>1</v>
      </c>
      <c r="E3" s="12">
        <v>0</v>
      </c>
      <c r="F3" s="34">
        <v>1</v>
      </c>
      <c r="G3" s="35">
        <v>3</v>
      </c>
      <c r="H3" s="36">
        <v>0</v>
      </c>
      <c r="I3" s="15" t="s">
        <v>6</v>
      </c>
      <c r="J3" s="13">
        <v>19</v>
      </c>
      <c r="K3" s="11">
        <v>1</v>
      </c>
      <c r="L3" s="11">
        <v>1</v>
      </c>
      <c r="M3" s="33">
        <v>0</v>
      </c>
      <c r="N3" s="35">
        <v>4</v>
      </c>
      <c r="O3" s="36">
        <v>3</v>
      </c>
      <c r="P3" s="15" t="s">
        <v>8</v>
      </c>
      <c r="Q3" s="13">
        <v>7</v>
      </c>
      <c r="R3" s="11">
        <v>1</v>
      </c>
      <c r="S3" s="11">
        <v>1</v>
      </c>
      <c r="T3" s="33">
        <v>0</v>
      </c>
      <c r="U3" s="35">
        <v>4</v>
      </c>
      <c r="V3" s="36">
        <v>1</v>
      </c>
      <c r="W3" s="15" t="s">
        <v>13</v>
      </c>
      <c r="X3" s="13">
        <v>27</v>
      </c>
      <c r="Y3" s="11">
        <v>1</v>
      </c>
      <c r="Z3" s="12">
        <v>0</v>
      </c>
      <c r="AA3" s="34">
        <v>1</v>
      </c>
      <c r="AB3" s="35">
        <v>3</v>
      </c>
      <c r="AC3" s="36">
        <v>0</v>
      </c>
      <c r="AD3" s="50"/>
      <c r="AE3" s="23" t="s">
        <v>48</v>
      </c>
      <c r="AF3" s="24">
        <v>2</v>
      </c>
      <c r="AG3" s="25" t="s">
        <v>47</v>
      </c>
      <c r="AH3" s="24">
        <v>1</v>
      </c>
      <c r="AI3" s="26" t="s">
        <v>2</v>
      </c>
      <c r="AJ3" s="50"/>
      <c r="AL3" s="50"/>
      <c r="AM3" s="50"/>
      <c r="AN3" s="50"/>
      <c r="AO3" s="72"/>
      <c r="AP3" s="93"/>
      <c r="AQ3" s="50"/>
      <c r="AR3" s="50"/>
      <c r="AS3" s="50"/>
      <c r="AT3" s="50"/>
      <c r="AU3" s="50"/>
      <c r="AV3" s="95"/>
      <c r="AW3" s="95"/>
      <c r="AX3" s="95"/>
      <c r="AY3" s="93"/>
      <c r="AZ3" s="72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</row>
    <row r="4" spans="1:69" ht="11.4" thickBot="1" x14ac:dyDescent="0.3">
      <c r="A4" s="49"/>
      <c r="B4" s="15" t="s">
        <v>2</v>
      </c>
      <c r="C4" s="13">
        <v>39</v>
      </c>
      <c r="D4" s="12">
        <v>0</v>
      </c>
      <c r="E4" s="11">
        <v>1</v>
      </c>
      <c r="F4" s="34">
        <v>1</v>
      </c>
      <c r="G4" s="35">
        <v>1</v>
      </c>
      <c r="H4" s="36">
        <v>-1</v>
      </c>
      <c r="I4" s="15" t="s">
        <v>4</v>
      </c>
      <c r="J4" s="13">
        <v>64</v>
      </c>
      <c r="K4" s="12">
        <v>0</v>
      </c>
      <c r="L4" s="11">
        <v>1</v>
      </c>
      <c r="M4" s="34">
        <v>1</v>
      </c>
      <c r="N4" s="35">
        <v>1</v>
      </c>
      <c r="O4" s="36">
        <v>-3</v>
      </c>
      <c r="P4" s="15" t="s">
        <v>10</v>
      </c>
      <c r="Q4" s="13">
        <v>42</v>
      </c>
      <c r="R4" s="11">
        <v>1</v>
      </c>
      <c r="S4" s="12">
        <v>0</v>
      </c>
      <c r="T4" s="34">
        <v>1</v>
      </c>
      <c r="U4" s="35">
        <v>3</v>
      </c>
      <c r="V4" s="36">
        <v>0</v>
      </c>
      <c r="W4" s="15" t="s">
        <v>12</v>
      </c>
      <c r="X4" s="13">
        <v>40</v>
      </c>
      <c r="Y4" s="11">
        <v>1</v>
      </c>
      <c r="Z4" s="12">
        <v>0</v>
      </c>
      <c r="AA4" s="34">
        <v>1</v>
      </c>
      <c r="AB4" s="35">
        <v>3</v>
      </c>
      <c r="AC4" s="36">
        <v>-2</v>
      </c>
      <c r="AD4" s="50"/>
      <c r="AE4" s="27" t="s">
        <v>3</v>
      </c>
      <c r="AF4" s="28">
        <v>1</v>
      </c>
      <c r="AG4" s="29" t="s">
        <v>47</v>
      </c>
      <c r="AH4" s="28">
        <v>1</v>
      </c>
      <c r="AI4" s="30" t="s">
        <v>4</v>
      </c>
      <c r="AJ4" s="50"/>
      <c r="AK4" s="31">
        <v>46185</v>
      </c>
      <c r="AL4" s="50"/>
      <c r="AM4" s="50"/>
      <c r="AN4" s="50"/>
      <c r="AO4" s="100" t="str">
        <f>VLOOKUP($AL72,$N$17:$O$64,2,FALSE)</f>
        <v>SCOTLAND</v>
      </c>
      <c r="AP4" s="94"/>
      <c r="AQ4" s="50"/>
      <c r="AR4" s="50"/>
      <c r="AS4" s="50"/>
      <c r="AT4" s="50"/>
      <c r="AU4" s="50"/>
      <c r="AV4" s="95"/>
      <c r="AW4" s="95"/>
      <c r="AX4" s="98"/>
      <c r="AY4" s="95"/>
      <c r="AZ4" s="100" t="str">
        <f>VLOOKUP($AI71,$N$17:$O$64,2,FALSE)</f>
        <v>JAPAN</v>
      </c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</row>
    <row r="5" spans="1:69" ht="11.4" thickBot="1" x14ac:dyDescent="0.3">
      <c r="A5" s="49"/>
      <c r="B5" s="15" t="s">
        <v>1</v>
      </c>
      <c r="C5" s="13">
        <v>60</v>
      </c>
      <c r="D5" s="12">
        <v>0</v>
      </c>
      <c r="E5" s="11">
        <v>1</v>
      </c>
      <c r="F5" s="34">
        <v>1</v>
      </c>
      <c r="G5" s="35">
        <v>1</v>
      </c>
      <c r="H5" s="36">
        <v>-2</v>
      </c>
      <c r="I5" s="15" t="s">
        <v>5</v>
      </c>
      <c r="J5" s="13">
        <v>57</v>
      </c>
      <c r="K5" s="12">
        <v>0</v>
      </c>
      <c r="L5" s="11">
        <v>1</v>
      </c>
      <c r="M5" s="34">
        <v>1</v>
      </c>
      <c r="N5" s="35">
        <v>1</v>
      </c>
      <c r="O5" s="36">
        <v>-6</v>
      </c>
      <c r="P5" s="65" t="s">
        <v>9</v>
      </c>
      <c r="Q5" s="67">
        <v>83</v>
      </c>
      <c r="R5" s="61">
        <v>0</v>
      </c>
      <c r="S5" s="61">
        <v>0</v>
      </c>
      <c r="T5" s="62">
        <v>2</v>
      </c>
      <c r="U5" s="63">
        <v>0</v>
      </c>
      <c r="V5" s="64">
        <v>-4</v>
      </c>
      <c r="W5" s="65" t="s">
        <v>14</v>
      </c>
      <c r="X5" s="67">
        <v>22</v>
      </c>
      <c r="Y5" s="61">
        <v>0</v>
      </c>
      <c r="Z5" s="61">
        <v>0</v>
      </c>
      <c r="AA5" s="62">
        <v>2</v>
      </c>
      <c r="AB5" s="63">
        <v>0</v>
      </c>
      <c r="AC5" s="64">
        <v>-3</v>
      </c>
      <c r="AD5" s="50"/>
      <c r="AE5" s="23" t="s">
        <v>11</v>
      </c>
      <c r="AF5" s="24">
        <v>4</v>
      </c>
      <c r="AG5" s="25" t="s">
        <v>47</v>
      </c>
      <c r="AH5" s="24">
        <v>1</v>
      </c>
      <c r="AI5" s="26" t="s">
        <v>12</v>
      </c>
      <c r="AJ5" s="50"/>
      <c r="AL5" s="50"/>
      <c r="AM5" s="50"/>
      <c r="AN5" s="50"/>
      <c r="AO5" s="72"/>
      <c r="AP5" s="95"/>
      <c r="AQ5" s="93"/>
      <c r="AR5" s="50"/>
      <c r="AS5" s="50"/>
      <c r="AT5" s="50"/>
      <c r="AU5" s="50"/>
      <c r="AV5" s="95"/>
      <c r="AW5" s="95"/>
      <c r="AX5" s="93"/>
      <c r="AY5" s="95"/>
      <c r="AZ5" s="72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</row>
    <row r="6" spans="1:69" ht="11.4" thickBot="1" x14ac:dyDescent="0.3">
      <c r="A6" s="49"/>
      <c r="B6" s="42" t="s">
        <v>71</v>
      </c>
      <c r="C6" s="43" t="s">
        <v>52</v>
      </c>
      <c r="D6" s="43" t="s">
        <v>49</v>
      </c>
      <c r="E6" s="43" t="s">
        <v>66</v>
      </c>
      <c r="F6" s="44" t="s">
        <v>50</v>
      </c>
      <c r="G6" s="43" t="s">
        <v>65</v>
      </c>
      <c r="H6" s="45" t="s">
        <v>51</v>
      </c>
      <c r="I6" s="37" t="s">
        <v>72</v>
      </c>
      <c r="J6" s="43" t="s">
        <v>52</v>
      </c>
      <c r="K6" s="43" t="s">
        <v>49</v>
      </c>
      <c r="L6" s="43" t="s">
        <v>66</v>
      </c>
      <c r="M6" s="44" t="s">
        <v>50</v>
      </c>
      <c r="N6" s="43" t="s">
        <v>65</v>
      </c>
      <c r="O6" s="45" t="s">
        <v>51</v>
      </c>
      <c r="P6" s="37" t="s">
        <v>73</v>
      </c>
      <c r="Q6" s="43" t="s">
        <v>52</v>
      </c>
      <c r="R6" s="43" t="s">
        <v>49</v>
      </c>
      <c r="S6" s="43" t="s">
        <v>66</v>
      </c>
      <c r="T6" s="44" t="s">
        <v>50</v>
      </c>
      <c r="U6" s="43" t="s">
        <v>65</v>
      </c>
      <c r="V6" s="45" t="s">
        <v>51</v>
      </c>
      <c r="W6" s="37" t="s">
        <v>74</v>
      </c>
      <c r="X6" s="43" t="s">
        <v>52</v>
      </c>
      <c r="Y6" s="43" t="s">
        <v>49</v>
      </c>
      <c r="Z6" s="43" t="s">
        <v>66</v>
      </c>
      <c r="AA6" s="44" t="s">
        <v>50</v>
      </c>
      <c r="AB6" s="46" t="s">
        <v>65</v>
      </c>
      <c r="AC6" s="45" t="s">
        <v>51</v>
      </c>
      <c r="AD6" s="50"/>
      <c r="AE6" s="27" t="s">
        <v>5</v>
      </c>
      <c r="AF6" s="28">
        <v>1</v>
      </c>
      <c r="AG6" s="29" t="s">
        <v>47</v>
      </c>
      <c r="AH6" s="28">
        <v>1</v>
      </c>
      <c r="AI6" s="30" t="s">
        <v>6</v>
      </c>
      <c r="AJ6" s="50"/>
      <c r="AK6" s="31">
        <v>46186</v>
      </c>
      <c r="AL6" s="50"/>
      <c r="AM6" s="50"/>
      <c r="AN6" s="50"/>
      <c r="AO6" s="100" t="str">
        <f>VLOOKUP($AE75,$N$17:$O$64,2,FALSE)</f>
        <v>FRANCE</v>
      </c>
      <c r="AP6" s="96"/>
      <c r="AQ6" s="94"/>
      <c r="AR6" s="50"/>
      <c r="AS6" s="50"/>
      <c r="AT6" s="50"/>
      <c r="AU6" s="50"/>
      <c r="AV6" s="95"/>
      <c r="AW6" s="98"/>
      <c r="AX6" s="98"/>
      <c r="AY6" s="95"/>
      <c r="AZ6" s="100" t="str">
        <f>VLOOKUP($AE74,$N$17:$O$64,2,FALSE)</f>
        <v>IVORY COAST</v>
      </c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</row>
    <row r="7" spans="1:69" ht="11.4" thickBot="1" x14ac:dyDescent="0.3">
      <c r="A7" s="49"/>
      <c r="B7" s="55" t="s">
        <v>46</v>
      </c>
      <c r="C7" s="66">
        <v>10</v>
      </c>
      <c r="D7" s="56">
        <v>2</v>
      </c>
      <c r="E7" s="57">
        <v>0</v>
      </c>
      <c r="F7" s="58">
        <v>0</v>
      </c>
      <c r="G7" s="59">
        <v>6</v>
      </c>
      <c r="H7" s="60">
        <v>7</v>
      </c>
      <c r="I7" s="15" t="s">
        <v>18</v>
      </c>
      <c r="J7" s="13">
        <v>8</v>
      </c>
      <c r="K7" s="11">
        <v>1</v>
      </c>
      <c r="L7" s="11">
        <v>1</v>
      </c>
      <c r="M7" s="33">
        <v>0</v>
      </c>
      <c r="N7" s="35">
        <v>4</v>
      </c>
      <c r="O7" s="36">
        <v>4</v>
      </c>
      <c r="P7" s="15" t="s">
        <v>23</v>
      </c>
      <c r="Q7" s="13">
        <v>29</v>
      </c>
      <c r="R7" s="11">
        <v>1</v>
      </c>
      <c r="S7" s="11">
        <v>1</v>
      </c>
      <c r="T7" s="33">
        <v>0</v>
      </c>
      <c r="U7" s="35">
        <v>4</v>
      </c>
      <c r="V7" s="36">
        <v>2</v>
      </c>
      <c r="W7" s="15" t="s">
        <v>26</v>
      </c>
      <c r="X7" s="13">
        <v>2</v>
      </c>
      <c r="Y7" s="11">
        <v>1</v>
      </c>
      <c r="Z7" s="11">
        <v>1</v>
      </c>
      <c r="AA7" s="33">
        <v>0</v>
      </c>
      <c r="AB7" s="35">
        <v>4</v>
      </c>
      <c r="AC7" s="36">
        <v>4</v>
      </c>
      <c r="AD7" s="50"/>
      <c r="AE7" s="27" t="s">
        <v>7</v>
      </c>
      <c r="AF7" s="28">
        <v>1</v>
      </c>
      <c r="AG7" s="29" t="s">
        <v>47</v>
      </c>
      <c r="AH7" s="28">
        <v>1</v>
      </c>
      <c r="AI7" s="30" t="s">
        <v>8</v>
      </c>
      <c r="AJ7" s="50"/>
      <c r="AK7" s="51"/>
      <c r="AL7" s="50"/>
      <c r="AM7" s="50"/>
      <c r="AN7" s="50"/>
      <c r="AO7" s="72"/>
      <c r="AP7" s="93"/>
      <c r="AQ7" s="97"/>
      <c r="AR7" s="50"/>
      <c r="AS7" s="50"/>
      <c r="AT7" s="50"/>
      <c r="AU7" s="50"/>
      <c r="AV7" s="95"/>
      <c r="AW7" s="98"/>
      <c r="AX7" s="95"/>
      <c r="AY7" s="93"/>
      <c r="AZ7" s="72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</row>
    <row r="8" spans="1:69" ht="11.4" thickBot="1" x14ac:dyDescent="0.3">
      <c r="A8" s="49"/>
      <c r="B8" s="15" t="s">
        <v>16</v>
      </c>
      <c r="C8" s="13">
        <v>33</v>
      </c>
      <c r="D8" s="11">
        <v>1</v>
      </c>
      <c r="E8" s="12">
        <v>0</v>
      </c>
      <c r="F8" s="34">
        <v>1</v>
      </c>
      <c r="G8" s="35">
        <v>3</v>
      </c>
      <c r="H8" s="36">
        <v>0</v>
      </c>
      <c r="I8" s="15" t="s">
        <v>19</v>
      </c>
      <c r="J8" s="13">
        <v>18</v>
      </c>
      <c r="K8" s="11">
        <v>1</v>
      </c>
      <c r="L8" s="11">
        <v>1</v>
      </c>
      <c r="M8" s="33">
        <v>0</v>
      </c>
      <c r="N8" s="35">
        <v>4</v>
      </c>
      <c r="O8" s="36">
        <v>4</v>
      </c>
      <c r="P8" s="15" t="s">
        <v>22</v>
      </c>
      <c r="Q8" s="13">
        <v>9</v>
      </c>
      <c r="R8" s="12">
        <v>0</v>
      </c>
      <c r="S8" s="11">
        <v>2</v>
      </c>
      <c r="T8" s="33">
        <v>0</v>
      </c>
      <c r="U8" s="35">
        <v>2</v>
      </c>
      <c r="V8" s="36">
        <v>0</v>
      </c>
      <c r="W8" s="15" t="s">
        <v>27</v>
      </c>
      <c r="X8" s="13">
        <v>69</v>
      </c>
      <c r="Y8" s="12">
        <v>0</v>
      </c>
      <c r="Z8" s="11">
        <v>2</v>
      </c>
      <c r="AA8" s="33">
        <v>0</v>
      </c>
      <c r="AB8" s="35">
        <v>2</v>
      </c>
      <c r="AC8" s="36">
        <v>0</v>
      </c>
      <c r="AD8" s="50"/>
      <c r="AE8" s="23" t="s">
        <v>9</v>
      </c>
      <c r="AF8" s="24">
        <v>0</v>
      </c>
      <c r="AG8" s="25" t="s">
        <v>47</v>
      </c>
      <c r="AH8" s="24">
        <v>1</v>
      </c>
      <c r="AI8" s="26" t="s">
        <v>10</v>
      </c>
      <c r="AJ8" s="50"/>
      <c r="AK8" s="51"/>
      <c r="AL8" s="50"/>
      <c r="AM8" s="50"/>
      <c r="AN8" s="50"/>
      <c r="AO8" s="101" t="str">
        <f>VLOOKUP($AL75,$N$17:$O$64,2,FALSE)</f>
        <v>SWEDEN</v>
      </c>
      <c r="AP8" s="95"/>
      <c r="AQ8" s="98"/>
      <c r="AR8" s="50"/>
      <c r="AS8" s="50"/>
      <c r="AT8" s="50"/>
      <c r="AU8" s="50"/>
      <c r="AV8" s="95"/>
      <c r="AW8" s="98"/>
      <c r="AX8" s="95"/>
      <c r="AY8" s="95"/>
      <c r="AZ8" s="101" t="str">
        <f>VLOOKUP($AI74,$N$17:$O$64,2,FALSE)</f>
        <v>NORWAY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</row>
    <row r="9" spans="1:69" ht="11.4" thickBot="1" x14ac:dyDescent="0.3">
      <c r="A9" s="49"/>
      <c r="B9" s="15" t="s">
        <v>17</v>
      </c>
      <c r="C9" s="13">
        <v>23</v>
      </c>
      <c r="D9" s="12">
        <v>0</v>
      </c>
      <c r="E9" s="11">
        <v>1</v>
      </c>
      <c r="F9" s="34">
        <v>1</v>
      </c>
      <c r="G9" s="35">
        <v>1</v>
      </c>
      <c r="H9" s="36">
        <v>-1</v>
      </c>
      <c r="I9" s="15" t="s">
        <v>20</v>
      </c>
      <c r="J9" s="13">
        <v>38</v>
      </c>
      <c r="K9" s="11">
        <v>1</v>
      </c>
      <c r="L9" s="12">
        <v>0</v>
      </c>
      <c r="M9" s="34">
        <v>1</v>
      </c>
      <c r="N9" s="35">
        <v>3</v>
      </c>
      <c r="O9" s="36">
        <v>0</v>
      </c>
      <c r="P9" s="15" t="s">
        <v>24</v>
      </c>
      <c r="Q9" s="13">
        <v>20</v>
      </c>
      <c r="R9" s="12">
        <v>0</v>
      </c>
      <c r="S9" s="11">
        <v>2</v>
      </c>
      <c r="T9" s="33">
        <v>0</v>
      </c>
      <c r="U9" s="35">
        <v>2</v>
      </c>
      <c r="V9" s="36">
        <v>0</v>
      </c>
      <c r="W9" s="15" t="s">
        <v>29</v>
      </c>
      <c r="X9" s="13">
        <v>16</v>
      </c>
      <c r="Y9" s="12">
        <v>0</v>
      </c>
      <c r="Z9" s="11">
        <v>2</v>
      </c>
      <c r="AA9" s="33">
        <v>0</v>
      </c>
      <c r="AB9" s="35">
        <v>2</v>
      </c>
      <c r="AC9" s="36">
        <v>0</v>
      </c>
      <c r="AD9" s="50"/>
      <c r="AE9" s="27" t="s">
        <v>13</v>
      </c>
      <c r="AF9" s="28">
        <v>2</v>
      </c>
      <c r="AG9" s="29" t="s">
        <v>47</v>
      </c>
      <c r="AH9" s="28">
        <v>0</v>
      </c>
      <c r="AI9" s="30" t="s">
        <v>14</v>
      </c>
      <c r="AJ9" s="50"/>
      <c r="AK9" s="31">
        <v>46187</v>
      </c>
      <c r="AL9" s="50"/>
      <c r="AM9" s="50"/>
      <c r="AN9" s="50"/>
      <c r="AO9" s="72"/>
      <c r="AP9" s="95"/>
      <c r="AQ9" s="95"/>
      <c r="AR9" s="93"/>
      <c r="AS9" s="50"/>
      <c r="AT9" s="50"/>
      <c r="AU9" s="50"/>
      <c r="AV9" s="95"/>
      <c r="AW9" s="93"/>
      <c r="AX9" s="95"/>
      <c r="AY9" s="95"/>
      <c r="AZ9" s="72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</row>
    <row r="10" spans="1:69" ht="11.4" thickBot="1" x14ac:dyDescent="0.3">
      <c r="A10" s="49"/>
      <c r="B10" s="15" t="s">
        <v>15</v>
      </c>
      <c r="C10" s="13">
        <v>82</v>
      </c>
      <c r="D10" s="12">
        <v>0</v>
      </c>
      <c r="E10" s="11">
        <v>1</v>
      </c>
      <c r="F10" s="34">
        <v>1</v>
      </c>
      <c r="G10" s="35">
        <v>1</v>
      </c>
      <c r="H10" s="36">
        <v>-6</v>
      </c>
      <c r="I10" s="65" t="s">
        <v>21</v>
      </c>
      <c r="J10" s="67">
        <v>46</v>
      </c>
      <c r="K10" s="61">
        <v>0</v>
      </c>
      <c r="L10" s="61">
        <v>0</v>
      </c>
      <c r="M10" s="62">
        <v>2</v>
      </c>
      <c r="N10" s="63">
        <v>0</v>
      </c>
      <c r="O10" s="64">
        <v>-8</v>
      </c>
      <c r="P10" s="16" t="s">
        <v>25</v>
      </c>
      <c r="Q10" s="13">
        <v>85</v>
      </c>
      <c r="R10" s="12">
        <v>0</v>
      </c>
      <c r="S10" s="11">
        <v>1</v>
      </c>
      <c r="T10" s="34">
        <v>1</v>
      </c>
      <c r="U10" s="35">
        <v>1</v>
      </c>
      <c r="V10" s="36">
        <v>-2</v>
      </c>
      <c r="W10" s="15" t="s">
        <v>28</v>
      </c>
      <c r="X10" s="13">
        <v>61</v>
      </c>
      <c r="Y10" s="12">
        <v>0</v>
      </c>
      <c r="Z10" s="11">
        <v>1</v>
      </c>
      <c r="AA10" s="34">
        <v>1</v>
      </c>
      <c r="AB10" s="35">
        <v>1</v>
      </c>
      <c r="AC10" s="36">
        <v>-4</v>
      </c>
      <c r="AD10" s="50"/>
      <c r="AE10" s="27" t="s">
        <v>46</v>
      </c>
      <c r="AF10" s="28">
        <v>7</v>
      </c>
      <c r="AG10" s="29" t="s">
        <v>47</v>
      </c>
      <c r="AH10" s="28">
        <v>1</v>
      </c>
      <c r="AI10" s="30" t="s">
        <v>15</v>
      </c>
      <c r="AJ10" s="50"/>
      <c r="AK10" s="50"/>
      <c r="AL10" s="50"/>
      <c r="AM10" s="50"/>
      <c r="AN10" s="50"/>
      <c r="AO10" s="100" t="str">
        <f>VLOOKUP($AE70,$N$17:$O$64,2,FALSE)</f>
        <v>SOUTH KOREA</v>
      </c>
      <c r="AP10" s="95"/>
      <c r="AQ10" s="98"/>
      <c r="AR10" s="97"/>
      <c r="AS10" s="50"/>
      <c r="AT10" s="50"/>
      <c r="AU10" s="50"/>
      <c r="AV10" s="98"/>
      <c r="AW10" s="98"/>
      <c r="AX10" s="95"/>
      <c r="AY10" s="95"/>
      <c r="AZ10" s="113" t="str">
        <f>VLOOKUP($AE76,$N$17:$O$64,2,FALSE)</f>
        <v>MEXICO</v>
      </c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</row>
    <row r="11" spans="1:69" ht="11.4" thickBot="1" x14ac:dyDescent="0.3">
      <c r="A11" s="49"/>
      <c r="B11" s="42" t="s">
        <v>75</v>
      </c>
      <c r="C11" s="43" t="s">
        <v>52</v>
      </c>
      <c r="D11" s="43" t="s">
        <v>49</v>
      </c>
      <c r="E11" s="43" t="s">
        <v>66</v>
      </c>
      <c r="F11" s="44" t="s">
        <v>50</v>
      </c>
      <c r="G11" s="43" t="s">
        <v>65</v>
      </c>
      <c r="H11" s="45" t="s">
        <v>51</v>
      </c>
      <c r="I11" s="37" t="s">
        <v>76</v>
      </c>
      <c r="J11" s="43" t="s">
        <v>52</v>
      </c>
      <c r="K11" s="43" t="s">
        <v>49</v>
      </c>
      <c r="L11" s="43" t="s">
        <v>66</v>
      </c>
      <c r="M11" s="44" t="s">
        <v>50</v>
      </c>
      <c r="N11" s="43" t="s">
        <v>65</v>
      </c>
      <c r="O11" s="45" t="s">
        <v>51</v>
      </c>
      <c r="P11" s="37" t="s">
        <v>77</v>
      </c>
      <c r="Q11" s="43" t="s">
        <v>52</v>
      </c>
      <c r="R11" s="43" t="s">
        <v>49</v>
      </c>
      <c r="S11" s="43" t="s">
        <v>66</v>
      </c>
      <c r="T11" s="44" t="s">
        <v>50</v>
      </c>
      <c r="U11" s="43" t="s">
        <v>65</v>
      </c>
      <c r="V11" s="45" t="s">
        <v>51</v>
      </c>
      <c r="W11" s="37" t="s">
        <v>78</v>
      </c>
      <c r="X11" s="43" t="s">
        <v>52</v>
      </c>
      <c r="Y11" s="43" t="s">
        <v>49</v>
      </c>
      <c r="Z11" s="43" t="s">
        <v>66</v>
      </c>
      <c r="AA11" s="44" t="s">
        <v>50</v>
      </c>
      <c r="AB11" s="43" t="s">
        <v>65</v>
      </c>
      <c r="AC11" s="45" t="s">
        <v>51</v>
      </c>
      <c r="AD11" s="50"/>
      <c r="AE11" s="27" t="s">
        <v>18</v>
      </c>
      <c r="AF11" s="28">
        <v>2</v>
      </c>
      <c r="AG11" s="29" t="s">
        <v>47</v>
      </c>
      <c r="AH11" s="28">
        <v>2</v>
      </c>
      <c r="AI11" s="30" t="s">
        <v>19</v>
      </c>
      <c r="AJ11" s="50"/>
      <c r="AK11" s="50"/>
      <c r="AL11" s="50"/>
      <c r="AM11" s="50"/>
      <c r="AN11" s="50"/>
      <c r="AO11" s="72"/>
      <c r="AP11" s="93"/>
      <c r="AQ11" s="97"/>
      <c r="AR11" s="97"/>
      <c r="AS11" s="50"/>
      <c r="AT11" s="50"/>
      <c r="AU11" s="50"/>
      <c r="AV11" s="98"/>
      <c r="AW11" s="98"/>
      <c r="AX11" s="95"/>
      <c r="AY11" s="93"/>
      <c r="AZ11" s="72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</row>
    <row r="12" spans="1:69" ht="11.4" thickBot="1" x14ac:dyDescent="0.3">
      <c r="A12" s="49"/>
      <c r="B12" s="55" t="s">
        <v>30</v>
      </c>
      <c r="C12" s="66">
        <v>3</v>
      </c>
      <c r="D12" s="56">
        <v>2</v>
      </c>
      <c r="E12" s="57">
        <v>0</v>
      </c>
      <c r="F12" s="58">
        <v>0</v>
      </c>
      <c r="G12" s="59">
        <v>6</v>
      </c>
      <c r="H12" s="60">
        <v>5</v>
      </c>
      <c r="I12" s="55" t="s">
        <v>34</v>
      </c>
      <c r="J12" s="66">
        <v>1</v>
      </c>
      <c r="K12" s="56">
        <v>2</v>
      </c>
      <c r="L12" s="57">
        <v>0</v>
      </c>
      <c r="M12" s="58">
        <v>0</v>
      </c>
      <c r="N12" s="59">
        <v>6</v>
      </c>
      <c r="O12" s="60">
        <v>5</v>
      </c>
      <c r="P12" s="15" t="s">
        <v>38</v>
      </c>
      <c r="Q12" s="13">
        <v>5</v>
      </c>
      <c r="R12" s="11">
        <v>1</v>
      </c>
      <c r="S12" s="11">
        <v>1</v>
      </c>
      <c r="T12" s="33">
        <v>0</v>
      </c>
      <c r="U12" s="35">
        <v>4</v>
      </c>
      <c r="V12" s="36">
        <v>5</v>
      </c>
      <c r="W12" s="15" t="s">
        <v>42</v>
      </c>
      <c r="X12" s="13">
        <v>4</v>
      </c>
      <c r="Y12" s="11">
        <v>1</v>
      </c>
      <c r="Z12" s="11">
        <v>1</v>
      </c>
      <c r="AA12" s="12">
        <v>0</v>
      </c>
      <c r="AB12" s="35">
        <v>4</v>
      </c>
      <c r="AC12" s="36">
        <v>2</v>
      </c>
      <c r="AD12" s="50"/>
      <c r="AE12" s="27" t="s">
        <v>16</v>
      </c>
      <c r="AF12" s="28">
        <v>1</v>
      </c>
      <c r="AG12" s="29" t="s">
        <v>47</v>
      </c>
      <c r="AH12" s="28">
        <v>0</v>
      </c>
      <c r="AI12" s="30" t="s">
        <v>17</v>
      </c>
      <c r="AJ12" s="50"/>
      <c r="AK12" s="50"/>
      <c r="AL12" s="50"/>
      <c r="AM12" s="50"/>
      <c r="AN12" s="50"/>
      <c r="AO12" s="100" t="str">
        <f>VLOOKUP($AI70,$N$17:$O$64,2,FALSE)</f>
        <v>SWITZERLAND</v>
      </c>
      <c r="AP12" s="94"/>
      <c r="AQ12" s="97"/>
      <c r="AR12" s="97"/>
      <c r="AS12" s="50"/>
      <c r="AT12" s="50"/>
      <c r="AU12" s="50"/>
      <c r="AV12" s="98"/>
      <c r="AW12" s="98"/>
      <c r="AX12" s="98"/>
      <c r="AY12" s="95"/>
      <c r="AZ12" s="101" t="str">
        <f>VLOOKUP($AL76,$N$17:$O$64,2,FALSE)</f>
        <v>CAPE VERDE</v>
      </c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</row>
    <row r="13" spans="1:69" ht="11.4" thickBot="1" x14ac:dyDescent="0.3">
      <c r="A13" s="49"/>
      <c r="B13" s="55" t="s">
        <v>33</v>
      </c>
      <c r="C13" s="66">
        <v>31</v>
      </c>
      <c r="D13" s="56">
        <v>2</v>
      </c>
      <c r="E13" s="57">
        <v>0</v>
      </c>
      <c r="F13" s="58">
        <v>0</v>
      </c>
      <c r="G13" s="59">
        <v>6</v>
      </c>
      <c r="H13" s="60">
        <v>4</v>
      </c>
      <c r="I13" s="15" t="s">
        <v>36</v>
      </c>
      <c r="J13" s="13">
        <v>24</v>
      </c>
      <c r="K13" s="11">
        <v>1</v>
      </c>
      <c r="L13" s="12">
        <v>0</v>
      </c>
      <c r="M13" s="34">
        <v>1</v>
      </c>
      <c r="N13" s="35">
        <v>3</v>
      </c>
      <c r="O13" s="36">
        <v>0</v>
      </c>
      <c r="P13" s="15" t="s">
        <v>41</v>
      </c>
      <c r="Q13" s="13">
        <v>13</v>
      </c>
      <c r="R13" s="11">
        <v>1</v>
      </c>
      <c r="S13" s="12">
        <v>0</v>
      </c>
      <c r="T13" s="33">
        <v>0</v>
      </c>
      <c r="U13" s="35">
        <v>3</v>
      </c>
      <c r="V13" s="36">
        <v>2</v>
      </c>
      <c r="W13" s="15" t="s">
        <v>44</v>
      </c>
      <c r="X13" s="13">
        <v>73</v>
      </c>
      <c r="Y13" s="11">
        <v>1</v>
      </c>
      <c r="Z13" s="11">
        <v>1</v>
      </c>
      <c r="AA13" s="12">
        <v>0</v>
      </c>
      <c r="AB13" s="35">
        <v>4</v>
      </c>
      <c r="AC13" s="36">
        <v>1</v>
      </c>
      <c r="AD13" s="50"/>
      <c r="AE13" s="23" t="s">
        <v>20</v>
      </c>
      <c r="AF13" s="24">
        <v>5</v>
      </c>
      <c r="AG13" s="25" t="s">
        <v>47</v>
      </c>
      <c r="AH13" s="24">
        <v>1</v>
      </c>
      <c r="AI13" s="26" t="s">
        <v>21</v>
      </c>
      <c r="AJ13" s="50"/>
      <c r="AK13" s="50"/>
      <c r="AL13" s="50"/>
      <c r="AM13" s="50"/>
      <c r="AN13" s="50"/>
      <c r="AO13" s="72"/>
      <c r="AP13" s="95"/>
      <c r="AQ13" s="93"/>
      <c r="AR13" s="98"/>
      <c r="AS13" s="50"/>
      <c r="AT13" s="50"/>
      <c r="AU13" s="50"/>
      <c r="AV13" s="98"/>
      <c r="AW13" s="95"/>
      <c r="AX13" s="93"/>
      <c r="AY13" s="95"/>
      <c r="AZ13" s="72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</row>
    <row r="14" spans="1:69" ht="11.4" thickBot="1" x14ac:dyDescent="0.3">
      <c r="A14" s="49"/>
      <c r="B14" s="65" t="s">
        <v>31</v>
      </c>
      <c r="C14" s="67">
        <v>15</v>
      </c>
      <c r="D14" s="61">
        <v>0</v>
      </c>
      <c r="E14" s="61">
        <v>0</v>
      </c>
      <c r="F14" s="62">
        <v>2</v>
      </c>
      <c r="G14" s="63">
        <v>0</v>
      </c>
      <c r="H14" s="64">
        <v>-3</v>
      </c>
      <c r="I14" s="15" t="s">
        <v>35</v>
      </c>
      <c r="J14" s="13">
        <v>28</v>
      </c>
      <c r="K14" s="11">
        <v>1</v>
      </c>
      <c r="L14" s="12">
        <v>0</v>
      </c>
      <c r="M14" s="34">
        <v>1</v>
      </c>
      <c r="N14" s="35">
        <v>3</v>
      </c>
      <c r="O14" s="36">
        <v>-2</v>
      </c>
      <c r="P14" s="15" t="s">
        <v>39</v>
      </c>
      <c r="Q14" s="13">
        <v>45</v>
      </c>
      <c r="R14" s="12">
        <v>0</v>
      </c>
      <c r="S14" s="11">
        <v>1</v>
      </c>
      <c r="T14" s="33">
        <v>0</v>
      </c>
      <c r="U14" s="35">
        <v>1</v>
      </c>
      <c r="V14" s="36">
        <v>0</v>
      </c>
      <c r="W14" s="15" t="s">
        <v>45</v>
      </c>
      <c r="X14" s="13">
        <v>34</v>
      </c>
      <c r="Y14" s="12">
        <v>0</v>
      </c>
      <c r="Z14" s="12">
        <v>0</v>
      </c>
      <c r="AA14" s="11">
        <v>1</v>
      </c>
      <c r="AB14" s="35">
        <v>0</v>
      </c>
      <c r="AC14" s="36">
        <v>-1</v>
      </c>
      <c r="AD14" s="50"/>
      <c r="AE14" s="27" t="s">
        <v>26</v>
      </c>
      <c r="AF14" s="28">
        <v>0</v>
      </c>
      <c r="AG14" s="29" t="s">
        <v>47</v>
      </c>
      <c r="AH14" s="28">
        <v>0</v>
      </c>
      <c r="AI14" s="30" t="s">
        <v>27</v>
      </c>
      <c r="AJ14" s="50"/>
      <c r="AK14" s="31">
        <v>46188</v>
      </c>
      <c r="AL14" s="50"/>
      <c r="AM14" s="50"/>
      <c r="AN14" s="50"/>
      <c r="AO14" s="100" t="str">
        <f>VLOOKUP($AE73,$N$17:$O$64,2,FALSE)</f>
        <v>NEDERLANDS</v>
      </c>
      <c r="AP14" s="96"/>
      <c r="AQ14" s="95"/>
      <c r="AR14" s="98"/>
      <c r="AS14" s="50"/>
      <c r="AT14" s="50"/>
      <c r="AU14" s="50"/>
      <c r="AV14" s="98"/>
      <c r="AW14" s="95"/>
      <c r="AX14" s="98"/>
      <c r="AY14" s="95"/>
      <c r="AZ14" s="100" t="str">
        <f>VLOOKUP($AE77,$N$17:$O$64,2,FALSE)</f>
        <v>ENGLAND</v>
      </c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</row>
    <row r="15" spans="1:69" ht="11.4" thickBot="1" x14ac:dyDescent="0.3">
      <c r="A15" s="49"/>
      <c r="B15" s="80" t="s">
        <v>32</v>
      </c>
      <c r="C15" s="81">
        <v>56</v>
      </c>
      <c r="D15" s="82">
        <v>0</v>
      </c>
      <c r="E15" s="82">
        <v>0</v>
      </c>
      <c r="F15" s="83">
        <v>2</v>
      </c>
      <c r="G15" s="84">
        <v>0</v>
      </c>
      <c r="H15" s="85">
        <v>-6</v>
      </c>
      <c r="I15" s="80" t="s">
        <v>37</v>
      </c>
      <c r="J15" s="81">
        <v>63</v>
      </c>
      <c r="K15" s="82">
        <v>0</v>
      </c>
      <c r="L15" s="82">
        <v>0</v>
      </c>
      <c r="M15" s="83">
        <v>2</v>
      </c>
      <c r="N15" s="84">
        <v>0</v>
      </c>
      <c r="O15" s="85">
        <v>-3</v>
      </c>
      <c r="P15" s="80" t="s">
        <v>40</v>
      </c>
      <c r="Q15" s="81">
        <v>50</v>
      </c>
      <c r="R15" s="82">
        <v>0</v>
      </c>
      <c r="S15" s="82">
        <v>0</v>
      </c>
      <c r="T15" s="83">
        <v>2</v>
      </c>
      <c r="U15" s="84">
        <v>0</v>
      </c>
      <c r="V15" s="85">
        <v>-7</v>
      </c>
      <c r="W15" s="39" t="s">
        <v>43</v>
      </c>
      <c r="X15" s="14">
        <v>11</v>
      </c>
      <c r="Y15" s="40">
        <v>0</v>
      </c>
      <c r="Z15" s="40">
        <v>0</v>
      </c>
      <c r="AA15" s="41">
        <v>1</v>
      </c>
      <c r="AB15" s="69">
        <v>0</v>
      </c>
      <c r="AC15" s="38">
        <v>-2</v>
      </c>
      <c r="AD15" s="50"/>
      <c r="AE15" s="27" t="s">
        <v>22</v>
      </c>
      <c r="AF15" s="28">
        <v>1</v>
      </c>
      <c r="AG15" s="29" t="s">
        <v>47</v>
      </c>
      <c r="AH15" s="28">
        <v>1</v>
      </c>
      <c r="AI15" s="30" t="s">
        <v>23</v>
      </c>
      <c r="AJ15" s="50"/>
      <c r="AK15" s="50"/>
      <c r="AL15" s="50"/>
      <c r="AM15" s="50"/>
      <c r="AN15" s="50"/>
      <c r="AO15" s="72"/>
      <c r="AP15" s="93"/>
      <c r="AQ15" s="95"/>
      <c r="AR15" s="98"/>
      <c r="AS15" s="50"/>
      <c r="AT15" s="50"/>
      <c r="AU15" s="50"/>
      <c r="AV15" s="98"/>
      <c r="AW15" s="95"/>
      <c r="AX15" s="95"/>
      <c r="AY15" s="93"/>
      <c r="AZ15" s="72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</row>
    <row r="16" spans="1:69" ht="11.4" thickBot="1" x14ac:dyDescent="0.3">
      <c r="A16" s="50"/>
      <c r="B16" s="50"/>
      <c r="C16" s="50"/>
      <c r="D16" s="50"/>
      <c r="E16" s="50"/>
      <c r="F16" s="50"/>
      <c r="G16" s="50"/>
      <c r="H16" s="103"/>
      <c r="I16" s="103"/>
      <c r="J16" s="103"/>
      <c r="K16" s="104"/>
      <c r="L16" s="104"/>
      <c r="M16" s="104"/>
      <c r="N16" s="104"/>
      <c r="O16" s="51"/>
      <c r="P16" s="91"/>
      <c r="Q16" s="75">
        <f t="shared" ref="Q16:Q18" si="0">I16</f>
        <v>0</v>
      </c>
      <c r="R16" s="51"/>
      <c r="S16" s="51"/>
      <c r="T16" s="51"/>
      <c r="U16" s="51"/>
      <c r="V16" s="51"/>
      <c r="W16" s="50"/>
      <c r="X16" s="51"/>
      <c r="Y16" s="51"/>
      <c r="Z16" s="51"/>
      <c r="AA16" s="51"/>
      <c r="AB16" s="51"/>
      <c r="AC16" s="51"/>
      <c r="AD16" s="50"/>
      <c r="AE16" s="27" t="s">
        <v>28</v>
      </c>
      <c r="AF16" s="28">
        <v>1</v>
      </c>
      <c r="AG16" s="29" t="s">
        <v>47</v>
      </c>
      <c r="AH16" s="28">
        <v>1</v>
      </c>
      <c r="AI16" s="30" t="s">
        <v>29</v>
      </c>
      <c r="AJ16" s="50"/>
      <c r="AK16" s="50"/>
      <c r="AL16" s="50"/>
      <c r="AM16" s="50"/>
      <c r="AN16" s="50"/>
      <c r="AO16" s="100" t="str">
        <f>VLOOKUP($AI73,$N$17:$O$64,2,FALSE)</f>
        <v>MOROCCO</v>
      </c>
      <c r="AP16" s="95"/>
      <c r="AQ16" s="95"/>
      <c r="AR16" s="98"/>
      <c r="AS16" s="50"/>
      <c r="AT16" s="50"/>
      <c r="AU16" s="50"/>
      <c r="AV16" s="98"/>
      <c r="AW16" s="95"/>
      <c r="AX16" s="95"/>
      <c r="AY16" s="95"/>
      <c r="AZ16" s="101" t="str">
        <f>VLOOKUP($AL77,$N$17:$O$64,2,FALSE)</f>
        <v>CONGO</v>
      </c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</row>
    <row r="17" spans="1:69" ht="11.4" thickBot="1" x14ac:dyDescent="0.3">
      <c r="A17" s="50"/>
      <c r="B17" s="50"/>
      <c r="C17" s="50"/>
      <c r="D17" s="50"/>
      <c r="E17" s="50"/>
      <c r="F17" s="50"/>
      <c r="G17" s="50"/>
      <c r="H17" s="32">
        <v>1</v>
      </c>
      <c r="I17" s="186" t="str">
        <f>VLOOKUP(H17,fmwc_w!I:N,2,FALSE)</f>
        <v>GERMANY</v>
      </c>
      <c r="J17" s="186"/>
      <c r="K17" s="186"/>
      <c r="L17" s="186"/>
      <c r="M17" s="186"/>
      <c r="N17" s="105" t="str">
        <f>VLOOKUP(H17,fmwc_w!I:N,3,FALSE)</f>
        <v>E1</v>
      </c>
      <c r="O17" s="112" t="str">
        <f>I17</f>
        <v>GERMANY</v>
      </c>
      <c r="P17" s="91"/>
      <c r="Q17" s="75" t="str">
        <f t="shared" si="0"/>
        <v>GERMANY</v>
      </c>
      <c r="R17" s="51"/>
      <c r="S17" s="51"/>
      <c r="T17" s="51"/>
      <c r="U17" s="51"/>
      <c r="V17" s="51"/>
      <c r="W17" s="50"/>
      <c r="X17" s="51"/>
      <c r="Y17" s="51"/>
      <c r="Z17" s="51"/>
      <c r="AA17" s="51"/>
      <c r="AB17" s="51"/>
      <c r="AC17" s="51"/>
      <c r="AD17" s="50"/>
      <c r="AE17" s="23" t="s">
        <v>24</v>
      </c>
      <c r="AF17" s="24">
        <v>2</v>
      </c>
      <c r="AG17" s="25" t="s">
        <v>47</v>
      </c>
      <c r="AH17" s="24">
        <v>2</v>
      </c>
      <c r="AI17" s="26" t="s">
        <v>25</v>
      </c>
      <c r="AJ17" s="50"/>
      <c r="AK17" s="50"/>
      <c r="AL17" s="50"/>
      <c r="AM17" s="50"/>
      <c r="AN17" s="50"/>
      <c r="AO17" s="72"/>
      <c r="AP17" s="95"/>
      <c r="AQ17" s="95"/>
      <c r="AR17" s="95"/>
      <c r="AS17" s="93"/>
      <c r="AT17" s="50"/>
      <c r="AU17" s="50"/>
      <c r="AV17" s="93"/>
      <c r="AW17" s="95"/>
      <c r="AX17" s="95"/>
      <c r="AY17" s="95"/>
      <c r="AZ17" s="72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</row>
    <row r="18" spans="1:69" ht="11.4" thickBot="1" x14ac:dyDescent="0.3">
      <c r="A18" s="50"/>
      <c r="B18" s="50"/>
      <c r="C18" s="50"/>
      <c r="D18" s="50"/>
      <c r="E18" s="50"/>
      <c r="F18" s="50"/>
      <c r="G18" s="50"/>
      <c r="H18" s="32">
        <v>2</v>
      </c>
      <c r="I18" s="183" t="str">
        <f>VLOOKUP(H18,fmwc_w!I:N,2,FALSE)</f>
        <v>USA</v>
      </c>
      <c r="J18" s="183"/>
      <c r="K18" s="183"/>
      <c r="L18" s="183"/>
      <c r="M18" s="183"/>
      <c r="N18" s="107" t="str">
        <f>VLOOKUP(H18,fmwc_w!I:N,3,FALSE)</f>
        <v>D1</v>
      </c>
      <c r="O18" s="112" t="str">
        <f t="shared" ref="O18:O64" si="1">I18</f>
        <v>USA</v>
      </c>
      <c r="P18" s="91"/>
      <c r="Q18" s="75" t="str">
        <f t="shared" si="0"/>
        <v>USA</v>
      </c>
      <c r="R18" s="51"/>
      <c r="S18" s="51"/>
      <c r="T18" s="51"/>
      <c r="U18" s="51"/>
      <c r="V18" s="51"/>
      <c r="W18" s="50"/>
      <c r="X18" s="51"/>
      <c r="Y18" s="51"/>
      <c r="Z18" s="51"/>
      <c r="AA18" s="51"/>
      <c r="AB18" s="51"/>
      <c r="AC18" s="51"/>
      <c r="AD18" s="50"/>
      <c r="AE18" s="27" t="s">
        <v>30</v>
      </c>
      <c r="AF18" s="28">
        <v>3</v>
      </c>
      <c r="AG18" s="29" t="s">
        <v>47</v>
      </c>
      <c r="AH18" s="28">
        <v>1</v>
      </c>
      <c r="AI18" s="30" t="s">
        <v>31</v>
      </c>
      <c r="AJ18" s="50"/>
      <c r="AK18" s="31">
        <v>46189</v>
      </c>
      <c r="AL18" s="50"/>
      <c r="AM18" s="50"/>
      <c r="AN18" s="50"/>
      <c r="AO18" s="100" t="str">
        <f>VLOOKUP($AE81,$N$17:$O$64,2,FALSE)</f>
        <v>COLOMBIA</v>
      </c>
      <c r="AP18" s="95"/>
      <c r="AQ18" s="95"/>
      <c r="AR18" s="98"/>
      <c r="AS18" s="50"/>
      <c r="AT18" s="50"/>
      <c r="AU18" s="50"/>
      <c r="AV18" s="50"/>
      <c r="AW18" s="99"/>
      <c r="AX18" s="95"/>
      <c r="AY18" s="95"/>
      <c r="AZ18" s="160" t="s">
        <v>34</v>
      </c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</row>
    <row r="19" spans="1:69" ht="11.4" thickBot="1" x14ac:dyDescent="0.3">
      <c r="A19" s="50"/>
      <c r="B19" s="50"/>
      <c r="C19" s="50"/>
      <c r="D19" s="50"/>
      <c r="E19" s="50"/>
      <c r="F19" s="50"/>
      <c r="G19" s="50"/>
      <c r="H19" s="32">
        <v>3</v>
      </c>
      <c r="I19" s="183" t="str">
        <f>VLOOKUP(H19,fmwc_w!I:N,2,FALSE)</f>
        <v>FRANCE</v>
      </c>
      <c r="J19" s="183"/>
      <c r="K19" s="183"/>
      <c r="L19" s="183"/>
      <c r="M19" s="183"/>
      <c r="N19" s="107" t="str">
        <f>VLOOKUP(H19,fmwc_w!I:N,3,FALSE)</f>
        <v>I1</v>
      </c>
      <c r="O19" s="112" t="str">
        <f t="shared" si="1"/>
        <v>FRANCE</v>
      </c>
      <c r="P19" s="91"/>
      <c r="Q19" s="75" t="str">
        <f t="shared" ref="Q19:Q48" si="2">I19</f>
        <v>FRANCE</v>
      </c>
      <c r="R19" s="51"/>
      <c r="S19" s="51"/>
      <c r="T19" s="51"/>
      <c r="U19" s="51"/>
      <c r="V19" s="51"/>
      <c r="W19" s="50"/>
      <c r="X19" s="51"/>
      <c r="Y19" s="51"/>
      <c r="Z19" s="51"/>
      <c r="AA19" s="51"/>
      <c r="AB19" s="51"/>
      <c r="AC19" s="51"/>
      <c r="AD19" s="50"/>
      <c r="AE19" s="27" t="s">
        <v>32</v>
      </c>
      <c r="AF19" s="28">
        <v>1</v>
      </c>
      <c r="AG19" s="29" t="s">
        <v>47</v>
      </c>
      <c r="AH19" s="28">
        <v>4</v>
      </c>
      <c r="AI19" s="30" t="s">
        <v>33</v>
      </c>
      <c r="AJ19" s="50"/>
      <c r="AK19" s="50"/>
      <c r="AL19" s="50"/>
      <c r="AM19" s="50"/>
      <c r="AN19" s="50"/>
      <c r="AO19" s="72"/>
      <c r="AP19" s="93"/>
      <c r="AQ19" s="95"/>
      <c r="AR19" s="98"/>
      <c r="AS19" s="50"/>
      <c r="AT19" s="182" t="s">
        <v>199</v>
      </c>
      <c r="AU19" s="182"/>
      <c r="AV19" s="50"/>
      <c r="AW19" s="99"/>
      <c r="AX19" s="95"/>
      <c r="AY19" s="93"/>
      <c r="AZ19" s="72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</row>
    <row r="20" spans="1:69" ht="11.4" thickBot="1" x14ac:dyDescent="0.3">
      <c r="A20" s="50"/>
      <c r="B20" s="50"/>
      <c r="C20" s="50"/>
      <c r="D20" s="50"/>
      <c r="E20" s="50"/>
      <c r="F20" s="50"/>
      <c r="G20" s="50"/>
      <c r="H20" s="32">
        <v>4</v>
      </c>
      <c r="I20" s="183" t="str">
        <f>VLOOKUP(H20,fmwc_w!I:N,2,FALSE)</f>
        <v>ARGENTINA</v>
      </c>
      <c r="J20" s="183"/>
      <c r="K20" s="183"/>
      <c r="L20" s="183"/>
      <c r="M20" s="183"/>
      <c r="N20" s="107" t="str">
        <f>VLOOKUP(H20,fmwc_w!I:N,3,FALSE)</f>
        <v>J1</v>
      </c>
      <c r="O20" s="112" t="str">
        <f t="shared" si="1"/>
        <v>ARGENTINA</v>
      </c>
      <c r="P20" s="91"/>
      <c r="Q20" s="75" t="str">
        <f t="shared" si="2"/>
        <v>ARGENTINA</v>
      </c>
      <c r="R20" s="51"/>
      <c r="S20" s="51"/>
      <c r="T20" s="51"/>
      <c r="U20" s="51"/>
      <c r="V20" s="51"/>
      <c r="W20" s="50"/>
      <c r="X20" s="51"/>
      <c r="Y20" s="51"/>
      <c r="Z20" s="51"/>
      <c r="AA20" s="51"/>
      <c r="AB20" s="51"/>
      <c r="AC20" s="51"/>
      <c r="AD20" s="50"/>
      <c r="AE20" s="23" t="s">
        <v>34</v>
      </c>
      <c r="AF20" s="24">
        <v>3</v>
      </c>
      <c r="AG20" s="25" t="s">
        <v>47</v>
      </c>
      <c r="AH20" s="24">
        <v>0</v>
      </c>
      <c r="AI20" s="26" t="s">
        <v>35</v>
      </c>
      <c r="AJ20" s="50"/>
      <c r="AK20" s="50"/>
      <c r="AL20" s="50"/>
      <c r="AM20" s="50"/>
      <c r="AN20" s="50"/>
      <c r="AO20" s="100" t="str">
        <f>VLOOKUP($AI81,$N$17:$O$64,2,FALSE)</f>
        <v>GHANA</v>
      </c>
      <c r="AP20" s="94"/>
      <c r="AQ20" s="95"/>
      <c r="AR20" s="98"/>
      <c r="AS20" s="50"/>
      <c r="AT20" s="93"/>
      <c r="AU20" s="93"/>
      <c r="AV20" s="50"/>
      <c r="AW20" s="99"/>
      <c r="AX20" s="98"/>
      <c r="AY20" s="95"/>
      <c r="AZ20" s="100" t="str">
        <f>VLOOKUP($AI84,$N$17:$O$64,2,FALSE)</f>
        <v>URUGUAY</v>
      </c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</row>
    <row r="21" spans="1:69" ht="11.4" thickBot="1" x14ac:dyDescent="0.3">
      <c r="A21" s="50"/>
      <c r="B21" s="50"/>
      <c r="C21" s="50"/>
      <c r="D21" s="50"/>
      <c r="E21" s="50"/>
      <c r="F21" s="50"/>
      <c r="G21" s="50"/>
      <c r="H21" s="32">
        <v>5</v>
      </c>
      <c r="I21" s="183" t="str">
        <f>VLOOKUP(H21,fmwc_w!I:N,2,FALSE)</f>
        <v>NORWAY</v>
      </c>
      <c r="J21" s="183"/>
      <c r="K21" s="183"/>
      <c r="L21" s="183"/>
      <c r="M21" s="183"/>
      <c r="N21" s="107" t="str">
        <f>VLOOKUP(H21,fmwc_w!I:N,3,FALSE)</f>
        <v>I2</v>
      </c>
      <c r="O21" s="112" t="str">
        <f t="shared" si="1"/>
        <v>NORWAY</v>
      </c>
      <c r="P21" s="91"/>
      <c r="Q21" s="75" t="str">
        <f t="shared" si="2"/>
        <v>NORWAY</v>
      </c>
      <c r="R21" s="51"/>
      <c r="S21" s="51"/>
      <c r="T21" s="51"/>
      <c r="U21" s="51"/>
      <c r="V21" s="51"/>
      <c r="W21" s="50"/>
      <c r="X21" s="51"/>
      <c r="Y21" s="51"/>
      <c r="Z21" s="51"/>
      <c r="AA21" s="51"/>
      <c r="AB21" s="51"/>
      <c r="AC21" s="51"/>
      <c r="AD21" s="50"/>
      <c r="AE21" s="27" t="s">
        <v>79</v>
      </c>
      <c r="AF21" s="28">
        <v>3</v>
      </c>
      <c r="AG21" s="29" t="s">
        <v>47</v>
      </c>
      <c r="AH21" s="28">
        <v>1</v>
      </c>
      <c r="AI21" s="30" t="s">
        <v>37</v>
      </c>
      <c r="AJ21" s="50"/>
      <c r="AK21" s="31">
        <v>46190</v>
      </c>
      <c r="AL21" s="50"/>
      <c r="AM21" s="50"/>
      <c r="AN21" s="50"/>
      <c r="AO21" s="72"/>
      <c r="AP21" s="95"/>
      <c r="AQ21" s="93"/>
      <c r="AR21" s="98"/>
      <c r="AS21" s="50"/>
      <c r="AT21" s="50"/>
      <c r="AU21" s="50"/>
      <c r="AV21" s="50"/>
      <c r="AW21" s="99"/>
      <c r="AX21" s="93"/>
      <c r="AY21" s="95"/>
      <c r="AZ21" s="72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</row>
    <row r="22" spans="1:69" ht="11.4" thickBot="1" x14ac:dyDescent="0.3">
      <c r="A22" s="50"/>
      <c r="B22" s="50"/>
      <c r="C22" s="50"/>
      <c r="D22" s="50"/>
      <c r="E22" s="50"/>
      <c r="F22" s="50"/>
      <c r="G22" s="50"/>
      <c r="H22" s="32">
        <v>6</v>
      </c>
      <c r="I22" s="183" t="str">
        <f>VLOOKUP(H22,fmwc_w!I:N,2,FALSE)</f>
        <v>MEXICO</v>
      </c>
      <c r="J22" s="183"/>
      <c r="K22" s="183"/>
      <c r="L22" s="183"/>
      <c r="M22" s="183"/>
      <c r="N22" s="107" t="str">
        <f>VLOOKUP(H22,fmwc_w!I:N,3,FALSE)</f>
        <v>A1</v>
      </c>
      <c r="O22" s="112" t="str">
        <f t="shared" si="1"/>
        <v>MEXICO</v>
      </c>
      <c r="P22" s="91"/>
      <c r="Q22" s="75" t="str">
        <f t="shared" si="2"/>
        <v>MEXICO</v>
      </c>
      <c r="R22" s="51"/>
      <c r="S22" s="51"/>
      <c r="T22" s="51"/>
      <c r="U22" s="51"/>
      <c r="V22" s="51"/>
      <c r="W22" s="50"/>
      <c r="X22" s="51"/>
      <c r="Y22" s="51"/>
      <c r="Z22" s="51"/>
      <c r="AA22" s="51"/>
      <c r="AB22" s="51"/>
      <c r="AC22" s="51"/>
      <c r="AD22" s="50"/>
      <c r="AE22" s="27" t="s">
        <v>38</v>
      </c>
      <c r="AF22" s="28">
        <v>1</v>
      </c>
      <c r="AG22" s="29" t="s">
        <v>47</v>
      </c>
      <c r="AH22" s="28">
        <v>1</v>
      </c>
      <c r="AI22" s="30" t="s">
        <v>39</v>
      </c>
      <c r="AJ22" s="50"/>
      <c r="AK22" s="50"/>
      <c r="AL22" s="50"/>
      <c r="AM22" s="50"/>
      <c r="AN22" s="50"/>
      <c r="AO22" s="100" t="str">
        <f>VLOOKUP($AE80,$N$17:$O$64,2,FALSE)</f>
        <v>SPAIN</v>
      </c>
      <c r="AP22" s="96"/>
      <c r="AQ22" s="97"/>
      <c r="AR22" s="97"/>
      <c r="AS22" s="50"/>
      <c r="AT22" s="182" t="s">
        <v>198</v>
      </c>
      <c r="AU22" s="182"/>
      <c r="AV22" s="50"/>
      <c r="AW22" s="97"/>
      <c r="AX22" s="98"/>
      <c r="AY22" s="95"/>
      <c r="AZ22" s="100" t="str">
        <f>VLOOKUP($AE83,$N$17:$O$64,2,FALSE)</f>
        <v>AUSTRALIA</v>
      </c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</row>
    <row r="23" spans="1:69" ht="11.4" thickBot="1" x14ac:dyDescent="0.3">
      <c r="A23" s="50"/>
      <c r="B23" s="50"/>
      <c r="C23" s="50"/>
      <c r="D23" s="50"/>
      <c r="E23" s="50"/>
      <c r="F23" s="50"/>
      <c r="G23" s="50"/>
      <c r="H23" s="32">
        <v>7</v>
      </c>
      <c r="I23" s="183" t="str">
        <f>VLOOKUP(H23,fmwc_w!I:N,2,FALSE)</f>
        <v>CANADA</v>
      </c>
      <c r="J23" s="183"/>
      <c r="K23" s="183"/>
      <c r="L23" s="183"/>
      <c r="M23" s="183"/>
      <c r="N23" s="107" t="str">
        <f>VLOOKUP(H23,fmwc_w!I:N,3,FALSE)</f>
        <v>B1</v>
      </c>
      <c r="O23" s="112" t="str">
        <f t="shared" si="1"/>
        <v>CANADA</v>
      </c>
      <c r="P23" s="91"/>
      <c r="Q23" s="75" t="str">
        <f t="shared" si="2"/>
        <v>CANADA</v>
      </c>
      <c r="R23" s="51"/>
      <c r="S23" s="51"/>
      <c r="T23" s="51"/>
      <c r="U23" s="51"/>
      <c r="V23" s="51"/>
      <c r="W23" s="50"/>
      <c r="X23" s="51"/>
      <c r="Y23" s="51"/>
      <c r="Z23" s="51"/>
      <c r="AA23" s="51"/>
      <c r="AB23" s="51"/>
      <c r="AC23" s="51"/>
      <c r="AD23" s="50"/>
      <c r="AE23" s="27" t="s">
        <v>42</v>
      </c>
      <c r="AF23" s="28">
        <v>4</v>
      </c>
      <c r="AG23" s="29" t="s">
        <v>47</v>
      </c>
      <c r="AH23" s="28">
        <v>2</v>
      </c>
      <c r="AI23" s="30" t="s">
        <v>43</v>
      </c>
      <c r="AJ23" s="50"/>
      <c r="AK23" s="50"/>
      <c r="AL23" s="50"/>
      <c r="AM23" s="50"/>
      <c r="AN23" s="50"/>
      <c r="AO23" s="72"/>
      <c r="AP23" s="93"/>
      <c r="AQ23" s="97"/>
      <c r="AR23" s="97"/>
      <c r="AS23" s="50"/>
      <c r="AT23" s="93"/>
      <c r="AU23" s="93"/>
      <c r="AV23" s="50"/>
      <c r="AW23" s="97"/>
      <c r="AX23" s="95"/>
      <c r="AY23" s="93"/>
      <c r="AZ23" s="72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</row>
    <row r="24" spans="1:69" ht="11.4" thickBot="1" x14ac:dyDescent="0.3">
      <c r="A24" s="50"/>
      <c r="B24" s="50"/>
      <c r="C24" s="50"/>
      <c r="D24" s="50"/>
      <c r="E24" s="50"/>
      <c r="F24" s="50"/>
      <c r="G24" s="50"/>
      <c r="H24" s="32">
        <v>8</v>
      </c>
      <c r="I24" s="183" t="str">
        <f>VLOOKUP(H24,fmwc_w!I:N,2,FALSE)</f>
        <v>PORTUGAL</v>
      </c>
      <c r="J24" s="183"/>
      <c r="K24" s="183"/>
      <c r="L24" s="183"/>
      <c r="M24" s="183"/>
      <c r="N24" s="107" t="str">
        <f>VLOOKUP(H24,fmwc_w!I:N,3,FALSE)</f>
        <v>K1</v>
      </c>
      <c r="O24" s="112" t="str">
        <f t="shared" si="1"/>
        <v>PORTUGAL</v>
      </c>
      <c r="P24" s="91"/>
      <c r="Q24" s="75" t="str">
        <f t="shared" si="2"/>
        <v>PORTUGAL</v>
      </c>
      <c r="R24" s="51"/>
      <c r="S24" s="51"/>
      <c r="T24" s="51"/>
      <c r="U24" s="51"/>
      <c r="V24" s="51"/>
      <c r="W24" s="50"/>
      <c r="X24" s="51"/>
      <c r="Y24" s="51"/>
      <c r="Z24" s="51"/>
      <c r="AA24" s="51"/>
      <c r="AB24" s="51"/>
      <c r="AC24" s="51"/>
      <c r="AD24" s="50"/>
      <c r="AE24" s="27" t="s">
        <v>44</v>
      </c>
      <c r="AF24" s="28">
        <v>1</v>
      </c>
      <c r="AG24" s="29" t="s">
        <v>47</v>
      </c>
      <c r="AH24" s="28">
        <v>0</v>
      </c>
      <c r="AI24" s="30" t="s">
        <v>45</v>
      </c>
      <c r="AJ24" s="50"/>
      <c r="AK24" s="50"/>
      <c r="AL24" s="50"/>
      <c r="AM24" s="50"/>
      <c r="AN24" s="50"/>
      <c r="AO24" s="100" t="str">
        <f>VLOOKUP($AI80,$N$17:$O$64,2,FALSE)</f>
        <v>AUSTRIA</v>
      </c>
      <c r="AP24" s="95"/>
      <c r="AQ24" s="98"/>
      <c r="AR24" s="97"/>
      <c r="AS24" s="50"/>
      <c r="AT24" s="50"/>
      <c r="AU24" s="50"/>
      <c r="AV24" s="50"/>
      <c r="AW24" s="96"/>
      <c r="AX24" s="95"/>
      <c r="AY24" s="95"/>
      <c r="AZ24" s="101" t="str">
        <f>VLOOKUP($AI83,$N$17:$O$64,2,FALSE)</f>
        <v>BELGIUM</v>
      </c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</row>
    <row r="25" spans="1:69" ht="11.4" thickBot="1" x14ac:dyDescent="0.3">
      <c r="A25" s="50"/>
      <c r="B25" s="50"/>
      <c r="C25" s="50"/>
      <c r="D25" s="50"/>
      <c r="E25" s="50"/>
      <c r="F25" s="50"/>
      <c r="G25" s="50"/>
      <c r="H25" s="32">
        <v>9</v>
      </c>
      <c r="I25" s="183" t="str">
        <f>VLOOKUP(H25,fmwc_w!I:N,2,FALSE)</f>
        <v>NEDERLANDS</v>
      </c>
      <c r="J25" s="183"/>
      <c r="K25" s="183"/>
      <c r="L25" s="183"/>
      <c r="M25" s="183"/>
      <c r="N25" s="107" t="str">
        <f>VLOOKUP(H25,fmwc_w!I:N,3,FALSE)</f>
        <v>F1</v>
      </c>
      <c r="O25" s="112" t="str">
        <f t="shared" si="1"/>
        <v>NEDERLANDS</v>
      </c>
      <c r="P25" s="91"/>
      <c r="Q25" s="75" t="str">
        <f t="shared" si="2"/>
        <v>NEDERLANDS</v>
      </c>
      <c r="R25" s="51"/>
      <c r="S25" s="51"/>
      <c r="T25" s="51"/>
      <c r="U25" s="51"/>
      <c r="V25" s="51"/>
      <c r="W25" s="50"/>
      <c r="X25" s="51"/>
      <c r="Y25" s="51"/>
      <c r="Z25" s="51"/>
      <c r="AA25" s="51"/>
      <c r="AB25" s="51"/>
      <c r="AC25" s="51"/>
      <c r="AD25" s="50"/>
      <c r="AE25" s="23" t="s">
        <v>40</v>
      </c>
      <c r="AF25" s="24">
        <v>1</v>
      </c>
      <c r="AG25" s="25" t="s">
        <v>47</v>
      </c>
      <c r="AH25" s="24">
        <v>3</v>
      </c>
      <c r="AI25" s="26" t="s">
        <v>41</v>
      </c>
      <c r="AJ25" s="50"/>
      <c r="AK25" s="50"/>
      <c r="AL25" s="50"/>
      <c r="AM25" s="50"/>
      <c r="AN25" s="50"/>
      <c r="AO25" s="72"/>
      <c r="AP25" s="95"/>
      <c r="AQ25" s="95"/>
      <c r="AR25" s="93"/>
      <c r="AS25" s="50"/>
      <c r="AT25" s="50"/>
      <c r="AU25" s="50"/>
      <c r="AV25" s="50"/>
      <c r="AW25" s="93"/>
      <c r="AX25" s="95"/>
      <c r="AY25" s="95"/>
      <c r="AZ25" s="72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</row>
    <row r="26" spans="1:69" ht="11.4" thickBot="1" x14ac:dyDescent="0.3">
      <c r="A26" s="50"/>
      <c r="B26" s="50"/>
      <c r="C26" s="50"/>
      <c r="D26" s="50"/>
      <c r="E26" s="50"/>
      <c r="F26" s="50"/>
      <c r="G26" s="50"/>
      <c r="H26" s="32">
        <v>10</v>
      </c>
      <c r="I26" s="183" t="str">
        <f>VLOOKUP(H26,fmwc_w!I:N,2,FALSE)</f>
        <v>JAPAN</v>
      </c>
      <c r="J26" s="183"/>
      <c r="K26" s="183"/>
      <c r="L26" s="183"/>
      <c r="M26" s="183"/>
      <c r="N26" s="107" t="str">
        <f>VLOOKUP(H26,fmwc_w!I:N,3,FALSE)</f>
        <v>F2</v>
      </c>
      <c r="O26" s="112" t="str">
        <f t="shared" si="1"/>
        <v>JAPAN</v>
      </c>
      <c r="P26" s="91"/>
      <c r="Q26" s="75" t="str">
        <f t="shared" si="2"/>
        <v>JAPAN</v>
      </c>
      <c r="R26" s="51"/>
      <c r="S26" s="51"/>
      <c r="T26" s="51"/>
      <c r="U26" s="51"/>
      <c r="V26" s="51"/>
      <c r="W26" s="50"/>
      <c r="X26" s="51"/>
      <c r="Y26" s="51"/>
      <c r="Z26" s="51"/>
      <c r="AA26" s="51"/>
      <c r="AB26" s="51"/>
      <c r="AC26" s="51"/>
      <c r="AD26" s="50"/>
      <c r="AE26" s="27" t="s">
        <v>2</v>
      </c>
      <c r="AF26" s="28">
        <v>1</v>
      </c>
      <c r="AG26" s="29" t="s">
        <v>47</v>
      </c>
      <c r="AH26" s="28">
        <v>1</v>
      </c>
      <c r="AI26" s="30" t="s">
        <v>1</v>
      </c>
      <c r="AJ26" s="50"/>
      <c r="AK26" s="31">
        <v>46191</v>
      </c>
      <c r="AL26" s="50"/>
      <c r="AM26" s="50"/>
      <c r="AN26" s="50"/>
      <c r="AO26" s="131" t="str">
        <f>VLOOKUP($AE79,$N$17:$O$64,2,FALSE)</f>
        <v>USA</v>
      </c>
      <c r="AP26" s="95"/>
      <c r="AQ26" s="98"/>
      <c r="AR26" s="50"/>
      <c r="AS26" s="50"/>
      <c r="AT26" s="50"/>
      <c r="AU26" s="50"/>
      <c r="AV26" s="50"/>
      <c r="AW26" s="50"/>
      <c r="AX26" s="99"/>
      <c r="AY26" s="95"/>
      <c r="AZ26" s="100" t="str">
        <f>VLOOKUP($AE82,$N$17:$O$64,2,FALSE)</f>
        <v>CANADA</v>
      </c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</row>
    <row r="27" spans="1:69" ht="11.4" thickBot="1" x14ac:dyDescent="0.3">
      <c r="A27" s="50"/>
      <c r="B27" s="50"/>
      <c r="C27" s="50"/>
      <c r="D27" s="50"/>
      <c r="E27" s="50"/>
      <c r="F27" s="50"/>
      <c r="G27" s="50"/>
      <c r="H27" s="32">
        <v>11</v>
      </c>
      <c r="I27" s="183" t="str">
        <f>VLOOKUP(H27,fmwc_w!I:N,2,FALSE)</f>
        <v>SPAIN</v>
      </c>
      <c r="J27" s="183"/>
      <c r="K27" s="183"/>
      <c r="L27" s="183"/>
      <c r="M27" s="183"/>
      <c r="N27" s="107" t="str">
        <f>VLOOKUP(H27,fmwc_w!I:N,3,FALSE)</f>
        <v>H1</v>
      </c>
      <c r="O27" s="112" t="str">
        <f t="shared" si="1"/>
        <v>SPAIN</v>
      </c>
      <c r="P27" s="91"/>
      <c r="Q27" s="75" t="str">
        <f t="shared" si="2"/>
        <v>SPAIN</v>
      </c>
      <c r="R27" s="51"/>
      <c r="S27" s="51"/>
      <c r="T27" s="51"/>
      <c r="U27" s="51"/>
      <c r="V27" s="51"/>
      <c r="W27" s="50"/>
      <c r="X27" s="51"/>
      <c r="Y27" s="51"/>
      <c r="Z27" s="51"/>
      <c r="AA27" s="51"/>
      <c r="AB27" s="51"/>
      <c r="AC27" s="51"/>
      <c r="AD27" s="50"/>
      <c r="AE27" s="27" t="s">
        <v>6</v>
      </c>
      <c r="AF27" s="28">
        <v>4</v>
      </c>
      <c r="AG27" s="29" t="s">
        <v>47</v>
      </c>
      <c r="AH27" s="28">
        <v>1</v>
      </c>
      <c r="AI27" s="30" t="s">
        <v>4</v>
      </c>
      <c r="AJ27" s="50"/>
      <c r="AK27" s="50"/>
      <c r="AL27" s="50"/>
      <c r="AM27" s="50"/>
      <c r="AN27" s="50"/>
      <c r="AO27" s="72"/>
      <c r="AP27" s="93"/>
      <c r="AQ27" s="97"/>
      <c r="AR27" s="50"/>
      <c r="AS27" s="50"/>
      <c r="AT27" s="50"/>
      <c r="AU27" s="50"/>
      <c r="AV27" s="50"/>
      <c r="AW27" s="50"/>
      <c r="AX27" s="99"/>
      <c r="AY27" s="93"/>
      <c r="AZ27" s="72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</row>
    <row r="28" spans="1:69" ht="11.4" thickBot="1" x14ac:dyDescent="0.3">
      <c r="A28" s="50"/>
      <c r="B28" s="50"/>
      <c r="C28" s="50"/>
      <c r="D28" s="50"/>
      <c r="E28" s="50"/>
      <c r="F28" s="50"/>
      <c r="G28" s="50"/>
      <c r="H28" s="32">
        <v>12</v>
      </c>
      <c r="I28" s="183" t="str">
        <f>VLOOKUP(H28,fmwc_w!I:N,2,FALSE)</f>
        <v>SWITZERLAND</v>
      </c>
      <c r="J28" s="183"/>
      <c r="K28" s="183"/>
      <c r="L28" s="183"/>
      <c r="M28" s="183"/>
      <c r="N28" s="107" t="str">
        <f>VLOOKUP(H28,fmwc_w!I:N,3,FALSE)</f>
        <v>B2</v>
      </c>
      <c r="O28" s="112" t="str">
        <f t="shared" si="1"/>
        <v>SWITZERLAND</v>
      </c>
      <c r="P28" s="91"/>
      <c r="Q28" s="75" t="str">
        <f t="shared" si="2"/>
        <v>SWITZERLAND</v>
      </c>
      <c r="R28" s="51"/>
      <c r="S28" s="51"/>
      <c r="T28" s="51"/>
      <c r="U28" s="51"/>
      <c r="V28" s="51"/>
      <c r="W28" s="50"/>
      <c r="X28" s="51"/>
      <c r="Y28" s="51"/>
      <c r="Z28" s="51"/>
      <c r="AA28" s="51"/>
      <c r="AB28" s="51"/>
      <c r="AC28" s="51"/>
      <c r="AD28" s="50"/>
      <c r="AE28" s="27" t="s">
        <v>3</v>
      </c>
      <c r="AF28" s="28">
        <v>6</v>
      </c>
      <c r="AG28" s="29" t="s">
        <v>47</v>
      </c>
      <c r="AH28" s="28">
        <v>0</v>
      </c>
      <c r="AI28" s="30" t="s">
        <v>5</v>
      </c>
      <c r="AJ28" s="50"/>
      <c r="AK28" s="50"/>
      <c r="AL28" s="50"/>
      <c r="AM28" s="50"/>
      <c r="AN28" s="50"/>
      <c r="AO28" s="101" t="str">
        <f>VLOOKUP($AL79,$N$17:$O$64,2,FALSE)</f>
        <v>ALGERIA</v>
      </c>
      <c r="AP28" s="94"/>
      <c r="AQ28" s="97"/>
      <c r="AR28" s="50"/>
      <c r="AS28" s="50"/>
      <c r="AT28" s="50"/>
      <c r="AU28" s="50"/>
      <c r="AV28" s="50"/>
      <c r="AW28" s="50"/>
      <c r="AX28" s="96"/>
      <c r="AY28" s="95"/>
      <c r="AZ28" s="101" t="str">
        <f>VLOOKUP($AL82,$N$17:$O$64,2,FALSE)</f>
        <v>IRAN</v>
      </c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</row>
    <row r="29" spans="1:69" ht="11.4" thickBot="1" x14ac:dyDescent="0.3">
      <c r="A29" s="50"/>
      <c r="B29" s="50"/>
      <c r="C29" s="50"/>
      <c r="D29" s="50"/>
      <c r="E29" s="50"/>
      <c r="F29" s="50"/>
      <c r="G29" s="50"/>
      <c r="H29" s="32">
        <v>13</v>
      </c>
      <c r="I29" s="183" t="str">
        <f>VLOOKUP(H29,fmwc_w!I:N,2,FALSE)</f>
        <v>BRAZIL</v>
      </c>
      <c r="J29" s="183"/>
      <c r="K29" s="183"/>
      <c r="L29" s="183"/>
      <c r="M29" s="183"/>
      <c r="N29" s="107" t="str">
        <f>VLOOKUP(H29,fmwc_w!I:N,3,FALSE)</f>
        <v>C1</v>
      </c>
      <c r="O29" s="112" t="str">
        <f t="shared" si="1"/>
        <v>BRAZIL</v>
      </c>
      <c r="P29" s="91"/>
      <c r="Q29" s="75" t="str">
        <f t="shared" si="2"/>
        <v>BRAZIL</v>
      </c>
      <c r="R29" s="51"/>
      <c r="S29" s="51"/>
      <c r="T29" s="51"/>
      <c r="U29" s="51"/>
      <c r="V29" s="51"/>
      <c r="W29" s="50"/>
      <c r="X29" s="51"/>
      <c r="Y29" s="51"/>
      <c r="Z29" s="51"/>
      <c r="AA29" s="51"/>
      <c r="AB29" s="51"/>
      <c r="AC29" s="51"/>
      <c r="AD29" s="50"/>
      <c r="AE29" s="23" t="s">
        <v>0</v>
      </c>
      <c r="AF29" s="24">
        <v>1</v>
      </c>
      <c r="AG29" s="25" t="s">
        <v>47</v>
      </c>
      <c r="AH29" s="24">
        <v>0</v>
      </c>
      <c r="AI29" s="26" t="s">
        <v>48</v>
      </c>
      <c r="AJ29" s="50"/>
      <c r="AK29" s="50"/>
      <c r="AL29" s="50"/>
      <c r="AM29" s="50"/>
      <c r="AN29" s="50"/>
      <c r="AO29" s="72"/>
      <c r="AP29" s="95"/>
      <c r="AQ29" s="93"/>
      <c r="AR29" s="50"/>
      <c r="AS29" s="50"/>
      <c r="AT29" s="50"/>
      <c r="AU29" s="50"/>
      <c r="AV29" s="50"/>
      <c r="AW29" s="50"/>
      <c r="AX29" s="93"/>
      <c r="AY29" s="95"/>
      <c r="AZ29" s="72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</row>
    <row r="30" spans="1:69" ht="11.4" thickBot="1" x14ac:dyDescent="0.3">
      <c r="A30" s="50"/>
      <c r="B30" s="50"/>
      <c r="C30" s="50"/>
      <c r="D30" s="50"/>
      <c r="E30" s="50"/>
      <c r="F30" s="50"/>
      <c r="G30" s="50"/>
      <c r="H30" s="32">
        <v>14</v>
      </c>
      <c r="I30" s="183" t="str">
        <f>VLOOKUP(H30,fmwc_w!I:N,2,FALSE)</f>
        <v>EGYPT</v>
      </c>
      <c r="J30" s="183"/>
      <c r="K30" s="183"/>
      <c r="L30" s="183"/>
      <c r="M30" s="183"/>
      <c r="N30" s="107" t="str">
        <f>VLOOKUP(H30,fmwc_w!I:N,3,FALSE)</f>
        <v>G1</v>
      </c>
      <c r="O30" s="112" t="str">
        <f t="shared" si="1"/>
        <v>EGYPT</v>
      </c>
      <c r="P30" s="91"/>
      <c r="Q30" s="75" t="str">
        <f t="shared" si="2"/>
        <v>EGYPT</v>
      </c>
      <c r="R30" s="51"/>
      <c r="S30" s="51"/>
      <c r="T30" s="51"/>
      <c r="U30" s="51"/>
      <c r="V30" s="51"/>
      <c r="W30" s="50"/>
      <c r="X30" s="51"/>
      <c r="Y30" s="51"/>
      <c r="Z30" s="51"/>
      <c r="AA30" s="51"/>
      <c r="AB30" s="51"/>
      <c r="AC30" s="51"/>
      <c r="AD30" s="50"/>
      <c r="AE30" s="23" t="s">
        <v>11</v>
      </c>
      <c r="AF30" s="24">
        <v>2</v>
      </c>
      <c r="AG30" s="25" t="s">
        <v>47</v>
      </c>
      <c r="AH30" s="24">
        <v>0</v>
      </c>
      <c r="AI30" s="26" t="s">
        <v>13</v>
      </c>
      <c r="AJ30" s="50"/>
      <c r="AK30" s="31">
        <v>46192</v>
      </c>
      <c r="AL30" s="50"/>
      <c r="AM30" s="50"/>
      <c r="AN30" s="50"/>
      <c r="AO30" s="100" t="str">
        <f>VLOOKUP($AE78,$N$17:$O$64,2,FALSE)</f>
        <v>EGYPT</v>
      </c>
      <c r="AP30" s="96"/>
      <c r="AQ30" s="50"/>
      <c r="AR30" s="50"/>
      <c r="AS30" s="50"/>
      <c r="AT30" s="50"/>
      <c r="AU30" s="50"/>
      <c r="AV30" s="50"/>
      <c r="AW30" s="50"/>
      <c r="AX30" s="50"/>
      <c r="AY30" s="96"/>
      <c r="AZ30" s="100" t="str">
        <f>VLOOKUP($AE85,$N$17:$O$64,2,FALSE)</f>
        <v>PORTUGAL</v>
      </c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</row>
    <row r="31" spans="1:69" ht="11.4" thickBot="1" x14ac:dyDescent="0.3">
      <c r="A31" s="50"/>
      <c r="B31" s="50"/>
      <c r="C31" s="50"/>
      <c r="D31" s="50"/>
      <c r="E31" s="50"/>
      <c r="F31" s="50"/>
      <c r="G31" s="50"/>
      <c r="H31" s="32">
        <v>15</v>
      </c>
      <c r="I31" s="183" t="str">
        <f>VLOOKUP(H31,fmwc_w!I:N,2,FALSE)</f>
        <v>ENGLAND</v>
      </c>
      <c r="J31" s="183"/>
      <c r="K31" s="183"/>
      <c r="L31" s="183"/>
      <c r="M31" s="183"/>
      <c r="N31" s="107" t="str">
        <f>VLOOKUP(H31,fmwc_w!I:N,3,FALSE)</f>
        <v>L1</v>
      </c>
      <c r="O31" s="112" t="str">
        <f t="shared" si="1"/>
        <v>ENGLAND</v>
      </c>
      <c r="P31" s="91"/>
      <c r="Q31" s="75" t="str">
        <f t="shared" si="2"/>
        <v>ENGLAND</v>
      </c>
      <c r="R31" s="51"/>
      <c r="S31" s="51"/>
      <c r="T31" s="51"/>
      <c r="U31" s="51"/>
      <c r="V31" s="51"/>
      <c r="W31" s="50"/>
      <c r="X31" s="51"/>
      <c r="Y31" s="51"/>
      <c r="Z31" s="51"/>
      <c r="AA31" s="51"/>
      <c r="AB31" s="51"/>
      <c r="AC31" s="51"/>
      <c r="AD31" s="50"/>
      <c r="AE31" s="27" t="s">
        <v>10</v>
      </c>
      <c r="AF31" s="28">
        <v>0</v>
      </c>
      <c r="AG31" s="29" t="s">
        <v>47</v>
      </c>
      <c r="AH31" s="28">
        <v>1</v>
      </c>
      <c r="AI31" s="30" t="s">
        <v>8</v>
      </c>
      <c r="AJ31" s="50"/>
      <c r="AK31" s="50"/>
      <c r="AL31" s="50"/>
      <c r="AM31" s="50"/>
      <c r="AN31" s="50"/>
      <c r="AO31" s="72"/>
      <c r="AP31" s="93"/>
      <c r="AQ31" s="50"/>
      <c r="AR31" s="50"/>
      <c r="AS31" s="50"/>
      <c r="AT31" s="50"/>
      <c r="AU31" s="50"/>
      <c r="AV31" s="50"/>
      <c r="AW31" s="50"/>
      <c r="AX31" s="50"/>
      <c r="AY31" s="93"/>
      <c r="AZ31" s="72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</row>
    <row r="32" spans="1:69" ht="11.4" thickBot="1" x14ac:dyDescent="0.3">
      <c r="A32" s="50"/>
      <c r="B32" s="50"/>
      <c r="C32" s="50"/>
      <c r="D32" s="50"/>
      <c r="E32" s="50"/>
      <c r="F32" s="50"/>
      <c r="G32" s="50"/>
      <c r="H32" s="32">
        <v>16</v>
      </c>
      <c r="I32" s="183" t="str">
        <f>VLOOKUP(H32,fmwc_w!I:N,2,FALSE)</f>
        <v>MOROCCO</v>
      </c>
      <c r="J32" s="183"/>
      <c r="K32" s="183"/>
      <c r="L32" s="183"/>
      <c r="M32" s="183"/>
      <c r="N32" s="107" t="str">
        <f>VLOOKUP(H32,fmwc_w!I:N,3,FALSE)</f>
        <v>C2</v>
      </c>
      <c r="O32" s="112" t="str">
        <f t="shared" si="1"/>
        <v>MOROCCO</v>
      </c>
      <c r="P32" s="91"/>
      <c r="Q32" s="75" t="str">
        <f t="shared" si="2"/>
        <v>MOROCCO</v>
      </c>
      <c r="R32" s="51"/>
      <c r="S32" s="51"/>
      <c r="T32" s="51"/>
      <c r="U32" s="51"/>
      <c r="V32" s="51"/>
      <c r="W32" s="50"/>
      <c r="X32" s="51"/>
      <c r="Y32" s="51"/>
      <c r="Z32" s="51"/>
      <c r="AA32" s="51"/>
      <c r="AB32" s="51"/>
      <c r="AC32" s="51"/>
      <c r="AD32" s="50"/>
      <c r="AE32" s="27" t="s">
        <v>7</v>
      </c>
      <c r="AF32" s="28">
        <v>3</v>
      </c>
      <c r="AG32" s="29" t="s">
        <v>47</v>
      </c>
      <c r="AH32" s="28">
        <v>0</v>
      </c>
      <c r="AI32" s="30" t="s">
        <v>9</v>
      </c>
      <c r="AJ32" s="50"/>
      <c r="AK32" s="50"/>
      <c r="AL32" s="50"/>
      <c r="AM32" s="50"/>
      <c r="AN32" s="50"/>
      <c r="AO32" s="101" t="str">
        <f>VLOOKUP($AL78,$N$17:$O$64,2,FALSE)</f>
        <v>CZECHIA</v>
      </c>
      <c r="AP32" s="51"/>
      <c r="AQ32" s="50"/>
      <c r="AR32" s="50"/>
      <c r="AS32" s="50"/>
      <c r="AT32" s="50"/>
      <c r="AU32" s="50"/>
      <c r="AV32" s="50"/>
      <c r="AW32" s="50"/>
      <c r="AX32" s="50"/>
      <c r="AY32" s="50"/>
      <c r="AZ32" s="100" t="str">
        <f>VLOOKUP($AL85,$N$17:$O$64,2,FALSE)</f>
        <v>PARAGUAY</v>
      </c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</row>
    <row r="33" spans="1:69" x14ac:dyDescent="0.3">
      <c r="A33" s="50"/>
      <c r="B33" s="50"/>
      <c r="C33" s="50"/>
      <c r="D33" s="50"/>
      <c r="E33" s="50"/>
      <c r="F33" s="50"/>
      <c r="G33" s="50"/>
      <c r="H33" s="32">
        <v>17</v>
      </c>
      <c r="I33" s="183" t="str">
        <f>VLOOKUP(H33,fmwc_w!I:N,2,FALSE)</f>
        <v>GHANA</v>
      </c>
      <c r="J33" s="183"/>
      <c r="K33" s="183"/>
      <c r="L33" s="183"/>
      <c r="M33" s="183"/>
      <c r="N33" s="107" t="str">
        <f>VLOOKUP(H33,fmwc_w!I:N,3,FALSE)</f>
        <v>L2</v>
      </c>
      <c r="O33" s="112" t="str">
        <f t="shared" si="1"/>
        <v>GHANA</v>
      </c>
      <c r="P33" s="91"/>
      <c r="Q33" s="75" t="str">
        <f t="shared" si="2"/>
        <v>GHANA</v>
      </c>
      <c r="R33" s="51"/>
      <c r="S33" s="51"/>
      <c r="T33" s="51"/>
      <c r="U33" s="51"/>
      <c r="V33" s="51"/>
      <c r="W33" s="50"/>
      <c r="X33" s="51"/>
      <c r="Y33" s="51"/>
      <c r="Z33" s="51"/>
      <c r="AA33" s="51"/>
      <c r="AB33" s="51"/>
      <c r="AC33" s="51"/>
      <c r="AD33" s="50"/>
      <c r="AE33" s="23" t="s">
        <v>14</v>
      </c>
      <c r="AF33" s="24">
        <v>0</v>
      </c>
      <c r="AG33" s="25" t="s">
        <v>47</v>
      </c>
      <c r="AH33" s="24">
        <v>1</v>
      </c>
      <c r="AI33" s="26" t="s">
        <v>12</v>
      </c>
      <c r="AJ33" s="50"/>
      <c r="AK33" s="50"/>
      <c r="AL33" s="50"/>
      <c r="AM33" s="50"/>
      <c r="AN33" s="50"/>
      <c r="AO33" s="51"/>
      <c r="AP33" s="51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</row>
    <row r="34" spans="1:69" x14ac:dyDescent="0.3">
      <c r="A34" s="50"/>
      <c r="B34" s="50"/>
      <c r="C34" s="50"/>
      <c r="D34" s="50"/>
      <c r="E34" s="50"/>
      <c r="F34" s="50"/>
      <c r="G34" s="50"/>
      <c r="H34" s="32">
        <v>18</v>
      </c>
      <c r="I34" s="183" t="str">
        <f>VLOOKUP(H34,fmwc_w!I:N,2,FALSE)</f>
        <v>COLOMBIA</v>
      </c>
      <c r="J34" s="183"/>
      <c r="K34" s="183"/>
      <c r="L34" s="183"/>
      <c r="M34" s="183"/>
      <c r="N34" s="107" t="str">
        <f>VLOOKUP(H34,fmwc_w!I:N,3,FALSE)</f>
        <v>K2</v>
      </c>
      <c r="O34" s="112" t="str">
        <f t="shared" si="1"/>
        <v>COLOMBIA</v>
      </c>
      <c r="P34" s="91"/>
      <c r="Q34" s="75" t="str">
        <f t="shared" si="2"/>
        <v>COLOMBIA</v>
      </c>
      <c r="R34" s="51"/>
      <c r="S34" s="51"/>
      <c r="T34" s="51"/>
      <c r="U34" s="51"/>
      <c r="V34" s="51"/>
      <c r="W34" s="50"/>
      <c r="X34" s="51"/>
      <c r="Y34" s="51"/>
      <c r="Z34" s="51"/>
      <c r="AA34" s="51"/>
      <c r="AB34" s="51"/>
      <c r="AC34" s="51"/>
      <c r="AD34" s="50"/>
      <c r="AE34" s="27" t="s">
        <v>18</v>
      </c>
      <c r="AF34" s="28">
        <v>5</v>
      </c>
      <c r="AG34" s="29" t="s">
        <v>47</v>
      </c>
      <c r="AH34" s="28">
        <v>1</v>
      </c>
      <c r="AI34" s="30" t="s">
        <v>20</v>
      </c>
      <c r="AJ34" s="50"/>
      <c r="AK34" s="31">
        <v>46193</v>
      </c>
      <c r="AL34" s="50"/>
      <c r="AM34" s="50"/>
      <c r="AN34" s="50"/>
      <c r="AO34" s="51"/>
      <c r="AP34" s="51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</row>
    <row r="35" spans="1:69" x14ac:dyDescent="0.3">
      <c r="A35" s="50"/>
      <c r="B35" s="50"/>
      <c r="C35" s="50"/>
      <c r="D35" s="50"/>
      <c r="E35" s="50"/>
      <c r="F35" s="50"/>
      <c r="G35" s="50"/>
      <c r="H35" s="32">
        <v>19</v>
      </c>
      <c r="I35" s="183" t="str">
        <f>VLOOKUP(H35,fmwc_w!I:N,2,FALSE)</f>
        <v>SOUTH KOREA</v>
      </c>
      <c r="J35" s="183"/>
      <c r="K35" s="183"/>
      <c r="L35" s="183"/>
      <c r="M35" s="183"/>
      <c r="N35" s="107" t="str">
        <f>VLOOKUP(H35,fmwc_w!I:N,3,FALSE)</f>
        <v>A2</v>
      </c>
      <c r="O35" s="112" t="str">
        <f t="shared" si="1"/>
        <v>SOUTH KOREA</v>
      </c>
      <c r="P35" s="91"/>
      <c r="Q35" s="75" t="str">
        <f t="shared" si="2"/>
        <v>SOUTH KOREA</v>
      </c>
      <c r="R35" s="51"/>
      <c r="S35" s="51"/>
      <c r="T35" s="51"/>
      <c r="U35" s="51"/>
      <c r="V35" s="51"/>
      <c r="W35" s="50"/>
      <c r="X35" s="51"/>
      <c r="Y35" s="51"/>
      <c r="Z35" s="51"/>
      <c r="AA35" s="51"/>
      <c r="AB35" s="51"/>
      <c r="AC35" s="51"/>
      <c r="AD35" s="50"/>
      <c r="AE35" s="27" t="s">
        <v>46</v>
      </c>
      <c r="AF35" s="28">
        <v>2</v>
      </c>
      <c r="AG35" s="29" t="s">
        <v>47</v>
      </c>
      <c r="AH35" s="28">
        <v>1</v>
      </c>
      <c r="AI35" s="30" t="s">
        <v>16</v>
      </c>
      <c r="AJ35" s="50"/>
      <c r="AK35" s="50"/>
      <c r="AL35" s="50"/>
      <c r="AM35" s="50"/>
      <c r="AN35" s="50"/>
      <c r="AO35" s="51"/>
      <c r="AP35" s="51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</row>
    <row r="36" spans="1:69" x14ac:dyDescent="0.3">
      <c r="A36" s="50"/>
      <c r="B36" s="50"/>
      <c r="C36" s="50"/>
      <c r="D36" s="50"/>
      <c r="E36" s="50"/>
      <c r="F36" s="50"/>
      <c r="G36" s="50"/>
      <c r="H36" s="32">
        <v>20</v>
      </c>
      <c r="I36" s="183" t="str">
        <f>VLOOKUP(H36,fmwc_w!I:N,2,FALSE)</f>
        <v>SCOTLAND</v>
      </c>
      <c r="J36" s="183"/>
      <c r="K36" s="183"/>
      <c r="L36" s="183"/>
      <c r="M36" s="183"/>
      <c r="N36" s="107" t="str">
        <f>VLOOKUP(H36,fmwc_w!I:N,3,FALSE)</f>
        <v>C3</v>
      </c>
      <c r="O36" s="112" t="str">
        <f t="shared" si="1"/>
        <v>SCOTLAND</v>
      </c>
      <c r="P36" s="91"/>
      <c r="Q36" s="75" t="str">
        <f t="shared" si="2"/>
        <v>SCOTLAND</v>
      </c>
      <c r="R36" s="51"/>
      <c r="S36" s="51"/>
      <c r="T36" s="51"/>
      <c r="U36" s="51"/>
      <c r="V36" s="51"/>
      <c r="W36" s="50"/>
      <c r="X36" s="51"/>
      <c r="Y36" s="51"/>
      <c r="Z36" s="51"/>
      <c r="AA36" s="51"/>
      <c r="AB36" s="51"/>
      <c r="AC36" s="51"/>
      <c r="AD36" s="50"/>
      <c r="AE36" s="27" t="s">
        <v>80</v>
      </c>
      <c r="AF36" s="28">
        <v>0</v>
      </c>
      <c r="AG36" s="29" t="s">
        <v>47</v>
      </c>
      <c r="AH36" s="28">
        <v>0</v>
      </c>
      <c r="AI36" s="30" t="s">
        <v>15</v>
      </c>
      <c r="AJ36" s="50"/>
      <c r="AK36" s="50"/>
      <c r="AL36" s="50"/>
      <c r="AM36" s="50"/>
      <c r="AN36" s="50"/>
      <c r="AO36" s="51"/>
      <c r="AP36" s="51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</row>
    <row r="37" spans="1:69" x14ac:dyDescent="0.3">
      <c r="A37" s="50"/>
      <c r="B37" s="50"/>
      <c r="C37" s="50"/>
      <c r="D37" s="50"/>
      <c r="E37" s="50"/>
      <c r="F37" s="50"/>
      <c r="G37" s="50"/>
      <c r="H37" s="32">
        <v>21</v>
      </c>
      <c r="I37" s="183" t="str">
        <f>VLOOKUP(H37,fmwc_w!I:N,2,FALSE)</f>
        <v>AUSTRALIA</v>
      </c>
      <c r="J37" s="183"/>
      <c r="K37" s="183"/>
      <c r="L37" s="183"/>
      <c r="M37" s="183"/>
      <c r="N37" s="107" t="str">
        <f>VLOOKUP(H37,fmwc_w!I:N,3,FALSE)</f>
        <v>D2</v>
      </c>
      <c r="O37" s="112" t="str">
        <f t="shared" si="1"/>
        <v>AUSTRALIA</v>
      </c>
      <c r="P37" s="91"/>
      <c r="Q37" s="75" t="str">
        <f t="shared" si="2"/>
        <v>AUSTRALIA</v>
      </c>
      <c r="R37" s="51"/>
      <c r="S37" s="51"/>
      <c r="T37" s="51"/>
      <c r="U37" s="51"/>
      <c r="V37" s="51"/>
      <c r="W37" s="50"/>
      <c r="X37" s="51"/>
      <c r="Y37" s="51"/>
      <c r="Z37" s="51"/>
      <c r="AA37" s="51"/>
      <c r="AB37" s="51"/>
      <c r="AC37" s="51"/>
      <c r="AD37" s="50"/>
      <c r="AE37" s="23" t="s">
        <v>21</v>
      </c>
      <c r="AF37" s="24">
        <v>0</v>
      </c>
      <c r="AG37" s="25" t="s">
        <v>47</v>
      </c>
      <c r="AH37" s="24">
        <v>4</v>
      </c>
      <c r="AI37" s="26" t="s">
        <v>19</v>
      </c>
      <c r="AJ37" s="50"/>
      <c r="AK37" s="50"/>
      <c r="AL37" s="50"/>
      <c r="AM37" s="50"/>
      <c r="AN37" s="50"/>
      <c r="AO37" s="51"/>
      <c r="AP37" s="51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</row>
    <row r="38" spans="1:69" x14ac:dyDescent="0.3">
      <c r="A38" s="50"/>
      <c r="B38" s="50"/>
      <c r="C38" s="50"/>
      <c r="D38" s="50"/>
      <c r="E38" s="50"/>
      <c r="F38" s="50"/>
      <c r="G38" s="50"/>
      <c r="H38" s="32">
        <v>22</v>
      </c>
      <c r="I38" s="183" t="str">
        <f>VLOOKUP(H38,fmwc_w!I:N,2,FALSE)</f>
        <v>IVORY COAST</v>
      </c>
      <c r="J38" s="183"/>
      <c r="K38" s="183"/>
      <c r="L38" s="183"/>
      <c r="M38" s="183"/>
      <c r="N38" s="107" t="str">
        <f>VLOOKUP(H38,fmwc_w!I:N,3,FALSE)</f>
        <v>E2</v>
      </c>
      <c r="O38" s="112" t="str">
        <f t="shared" si="1"/>
        <v>IVORY COAST</v>
      </c>
      <c r="P38" s="91"/>
      <c r="Q38" s="75" t="str">
        <f t="shared" si="2"/>
        <v>IVORY COAST</v>
      </c>
      <c r="R38" s="51"/>
      <c r="S38" s="51"/>
      <c r="T38" s="51"/>
      <c r="U38" s="51"/>
      <c r="V38" s="51"/>
      <c r="W38" s="50"/>
      <c r="X38" s="51"/>
      <c r="Y38" s="51"/>
      <c r="Z38" s="51"/>
      <c r="AA38" s="51"/>
      <c r="AB38" s="51"/>
      <c r="AC38" s="51"/>
      <c r="AD38" s="50"/>
      <c r="AE38" s="27" t="s">
        <v>26</v>
      </c>
      <c r="AF38" s="28">
        <v>4</v>
      </c>
      <c r="AG38" s="29" t="s">
        <v>47</v>
      </c>
      <c r="AH38" s="28">
        <v>0</v>
      </c>
      <c r="AI38" s="30" t="s">
        <v>28</v>
      </c>
      <c r="AJ38" s="50"/>
      <c r="AK38" s="31">
        <v>46194</v>
      </c>
      <c r="AL38" s="50"/>
      <c r="AM38" s="50"/>
      <c r="AN38" s="50"/>
      <c r="AO38" s="51"/>
      <c r="AP38" s="51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</row>
    <row r="39" spans="1:69" x14ac:dyDescent="0.3">
      <c r="A39" s="50"/>
      <c r="B39" s="50"/>
      <c r="C39" s="50"/>
      <c r="D39" s="50"/>
      <c r="E39" s="50"/>
      <c r="F39" s="50"/>
      <c r="G39" s="50"/>
      <c r="H39" s="32">
        <v>23</v>
      </c>
      <c r="I39" s="183" t="str">
        <f>VLOOKUP(H39,fmwc_w!I:N,2,FALSE)</f>
        <v>SWEDEN</v>
      </c>
      <c r="J39" s="183"/>
      <c r="K39" s="183"/>
      <c r="L39" s="183"/>
      <c r="M39" s="183"/>
      <c r="N39" s="107" t="str">
        <f>VLOOKUP(H39,fmwc_w!I:N,3,FALSE)</f>
        <v>F3</v>
      </c>
      <c r="O39" s="112" t="str">
        <f t="shared" si="1"/>
        <v>SWEDEN</v>
      </c>
      <c r="P39" s="91"/>
      <c r="Q39" s="75" t="str">
        <f t="shared" si="2"/>
        <v>SWEDEN</v>
      </c>
      <c r="R39" s="51"/>
      <c r="S39" s="51"/>
      <c r="T39" s="51"/>
      <c r="U39" s="51"/>
      <c r="V39" s="51"/>
      <c r="W39" s="50"/>
      <c r="X39" s="51"/>
      <c r="Y39" s="51"/>
      <c r="Z39" s="51"/>
      <c r="AA39" s="51"/>
      <c r="AB39" s="51"/>
      <c r="AC39" s="51"/>
      <c r="AD39" s="50"/>
      <c r="AE39" s="27" t="s">
        <v>22</v>
      </c>
      <c r="AF39" s="28">
        <v>0</v>
      </c>
      <c r="AG39" s="29" t="s">
        <v>47</v>
      </c>
      <c r="AH39" s="28">
        <v>0</v>
      </c>
      <c r="AI39" s="30" t="s">
        <v>24</v>
      </c>
      <c r="AJ39" s="50"/>
      <c r="AK39" s="50"/>
      <c r="AL39" s="50"/>
      <c r="AM39" s="50"/>
      <c r="AN39" s="50"/>
      <c r="AO39" s="51"/>
      <c r="AP39" s="51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</row>
    <row r="40" spans="1:69" x14ac:dyDescent="0.3">
      <c r="A40" s="50"/>
      <c r="B40" s="50"/>
      <c r="C40" s="50"/>
      <c r="D40" s="50"/>
      <c r="E40" s="50"/>
      <c r="F40" s="50"/>
      <c r="G40" s="50"/>
      <c r="H40" s="32">
        <v>24</v>
      </c>
      <c r="I40" s="183" t="str">
        <f>VLOOKUP(H40,fmwc_w!I:N,2,FALSE)</f>
        <v>AUSTRIA</v>
      </c>
      <c r="J40" s="183"/>
      <c r="K40" s="183"/>
      <c r="L40" s="183"/>
      <c r="M40" s="183"/>
      <c r="N40" s="107" t="str">
        <f>VLOOKUP(H40,fmwc_w!I:N,3,FALSE)</f>
        <v>J2</v>
      </c>
      <c r="O40" s="112" t="str">
        <f t="shared" si="1"/>
        <v>AUSTRIA</v>
      </c>
      <c r="P40" s="91"/>
      <c r="Q40" s="75" t="str">
        <f t="shared" si="2"/>
        <v>AUSTRIA</v>
      </c>
      <c r="R40" s="51"/>
      <c r="S40" s="51"/>
      <c r="T40" s="51"/>
      <c r="U40" s="51"/>
      <c r="V40" s="51"/>
      <c r="W40" s="50"/>
      <c r="X40" s="51"/>
      <c r="Y40" s="51"/>
      <c r="Z40" s="51"/>
      <c r="AA40" s="51"/>
      <c r="AB40" s="51"/>
      <c r="AC40" s="51"/>
      <c r="AD40" s="50"/>
      <c r="AE40" s="27" t="s">
        <v>29</v>
      </c>
      <c r="AF40" s="28">
        <v>2</v>
      </c>
      <c r="AG40" s="29" t="s">
        <v>47</v>
      </c>
      <c r="AH40" s="28">
        <v>2</v>
      </c>
      <c r="AI40" s="30" t="s">
        <v>27</v>
      </c>
      <c r="AJ40" s="50"/>
      <c r="AK40" s="50"/>
      <c r="AL40" s="50"/>
      <c r="AM40" s="50"/>
      <c r="AN40" s="50"/>
      <c r="AO40" s="51"/>
      <c r="AP40" s="51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</row>
    <row r="41" spans="1:69" x14ac:dyDescent="0.3">
      <c r="A41" s="50"/>
      <c r="B41" s="50"/>
      <c r="C41" s="50"/>
      <c r="D41" s="50"/>
      <c r="E41" s="50"/>
      <c r="F41" s="50"/>
      <c r="G41" s="50"/>
      <c r="H41" s="32">
        <v>25</v>
      </c>
      <c r="I41" s="183" t="str">
        <f>VLOOKUP(H41,fmwc_w!I:N,2,FALSE)</f>
        <v>PARAGUAY</v>
      </c>
      <c r="J41" s="183"/>
      <c r="K41" s="183"/>
      <c r="L41" s="183"/>
      <c r="M41" s="183"/>
      <c r="N41" s="107" t="str">
        <f>VLOOKUP(H41,fmwc_w!I:N,3,FALSE)</f>
        <v>D3</v>
      </c>
      <c r="O41" s="112" t="str">
        <f t="shared" si="1"/>
        <v>PARAGUAY</v>
      </c>
      <c r="P41" s="91"/>
      <c r="Q41" s="75" t="str">
        <f t="shared" si="2"/>
        <v>PARAGUAY</v>
      </c>
      <c r="R41" s="51"/>
      <c r="S41" s="51"/>
      <c r="T41" s="51"/>
      <c r="U41" s="51"/>
      <c r="V41" s="51"/>
      <c r="W41" s="50"/>
      <c r="X41" s="51"/>
      <c r="Y41" s="51"/>
      <c r="Z41" s="51"/>
      <c r="AA41" s="51"/>
      <c r="AB41" s="51"/>
      <c r="AC41" s="51"/>
      <c r="AD41" s="50"/>
      <c r="AE41" s="23" t="s">
        <v>25</v>
      </c>
      <c r="AF41" s="24">
        <v>1</v>
      </c>
      <c r="AG41" s="25" t="s">
        <v>47</v>
      </c>
      <c r="AH41" s="24">
        <v>3</v>
      </c>
      <c r="AI41" s="26" t="s">
        <v>23</v>
      </c>
      <c r="AJ41" s="50"/>
      <c r="AK41" s="50"/>
      <c r="AL41" s="50"/>
      <c r="AM41" s="50"/>
      <c r="AN41" s="50"/>
      <c r="AO41" s="51"/>
      <c r="AP41" s="51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</row>
    <row r="42" spans="1:69" x14ac:dyDescent="0.3">
      <c r="A42" s="50"/>
      <c r="B42" s="50"/>
      <c r="C42" s="50"/>
      <c r="D42" s="50"/>
      <c r="E42" s="50"/>
      <c r="F42" s="50"/>
      <c r="G42" s="50"/>
      <c r="H42" s="32">
        <v>26</v>
      </c>
      <c r="I42" s="183" t="str">
        <f>VLOOKUP(H42,fmwc_w!I:N,2,FALSE)</f>
        <v>ALGERIA</v>
      </c>
      <c r="J42" s="183"/>
      <c r="K42" s="183"/>
      <c r="L42" s="183"/>
      <c r="M42" s="183"/>
      <c r="N42" s="107" t="str">
        <f>VLOOKUP(H42,fmwc_w!I:N,3,FALSE)</f>
        <v>J3</v>
      </c>
      <c r="O42" s="112" t="str">
        <f t="shared" si="1"/>
        <v>ALGERIA</v>
      </c>
      <c r="P42" s="91"/>
      <c r="Q42" s="75" t="str">
        <f t="shared" si="2"/>
        <v>ALGERIA</v>
      </c>
      <c r="R42" s="51"/>
      <c r="S42" s="51"/>
      <c r="T42" s="51"/>
      <c r="U42" s="51"/>
      <c r="V42" s="51"/>
      <c r="W42" s="50"/>
      <c r="X42" s="51"/>
      <c r="Y42" s="51"/>
      <c r="Z42" s="51"/>
      <c r="AA42" s="51"/>
      <c r="AB42" s="51"/>
      <c r="AC42" s="51"/>
      <c r="AD42" s="50"/>
      <c r="AE42" s="27" t="s">
        <v>34</v>
      </c>
      <c r="AF42" s="28">
        <v>2</v>
      </c>
      <c r="AG42" s="29" t="s">
        <v>47</v>
      </c>
      <c r="AH42" s="28">
        <v>0</v>
      </c>
      <c r="AI42" s="30" t="s">
        <v>36</v>
      </c>
      <c r="AJ42" s="50"/>
      <c r="AK42" s="31">
        <v>46195</v>
      </c>
      <c r="AL42" s="50"/>
      <c r="AM42" s="50"/>
      <c r="AN42" s="50"/>
      <c r="AO42" s="51"/>
      <c r="AP42" s="51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</row>
    <row r="43" spans="1:69" x14ac:dyDescent="0.3">
      <c r="A43" s="50"/>
      <c r="B43" s="50"/>
      <c r="C43" s="50"/>
      <c r="D43" s="50"/>
      <c r="E43" s="50"/>
      <c r="F43" s="50"/>
      <c r="G43" s="50"/>
      <c r="H43" s="32">
        <v>27</v>
      </c>
      <c r="I43" s="183" t="str">
        <f>VLOOKUP(H43,fmwc_w!I:N,2,FALSE)</f>
        <v>BELGIUM</v>
      </c>
      <c r="J43" s="183"/>
      <c r="K43" s="183"/>
      <c r="L43" s="183"/>
      <c r="M43" s="183"/>
      <c r="N43" s="107" t="str">
        <f>VLOOKUP(H43,fmwc_w!I:N,3,FALSE)</f>
        <v>G2</v>
      </c>
      <c r="O43" s="112" t="str">
        <f t="shared" si="1"/>
        <v>BELGIUM</v>
      </c>
      <c r="P43" s="91"/>
      <c r="Q43" s="75" t="str">
        <f t="shared" si="2"/>
        <v>BELGIUM</v>
      </c>
      <c r="R43" s="51"/>
      <c r="S43" s="51"/>
      <c r="T43" s="51"/>
      <c r="U43" s="51"/>
      <c r="V43" s="51"/>
      <c r="W43" s="50"/>
      <c r="X43" s="51"/>
      <c r="Y43" s="51"/>
      <c r="Z43" s="51"/>
      <c r="AA43" s="51"/>
      <c r="AB43" s="51"/>
      <c r="AC43" s="51"/>
      <c r="AD43" s="50"/>
      <c r="AE43" s="27" t="s">
        <v>30</v>
      </c>
      <c r="AF43" s="28">
        <v>3</v>
      </c>
      <c r="AG43" s="29" t="s">
        <v>47</v>
      </c>
      <c r="AH43" s="28">
        <v>0</v>
      </c>
      <c r="AI43" s="30" t="s">
        <v>32</v>
      </c>
      <c r="AJ43" s="50"/>
      <c r="AK43" s="50"/>
      <c r="AL43" s="50"/>
      <c r="AM43" s="50"/>
      <c r="AN43" s="50"/>
      <c r="AO43" s="51"/>
      <c r="AP43" s="51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</row>
    <row r="44" spans="1:69" x14ac:dyDescent="0.3">
      <c r="A44" s="50"/>
      <c r="B44" s="50"/>
      <c r="C44" s="50"/>
      <c r="D44" s="50"/>
      <c r="E44" s="50"/>
      <c r="F44" s="50"/>
      <c r="G44" s="50"/>
      <c r="H44" s="32">
        <v>28</v>
      </c>
      <c r="I44" s="183" t="str">
        <f>VLOOKUP(H44,fmwc_w!I:N,2,FALSE)</f>
        <v>IRAN</v>
      </c>
      <c r="J44" s="183"/>
      <c r="K44" s="183"/>
      <c r="L44" s="183"/>
      <c r="M44" s="183"/>
      <c r="N44" s="107" t="str">
        <f>VLOOKUP(H44,fmwc_w!I:N,3,FALSE)</f>
        <v>G3</v>
      </c>
      <c r="O44" s="112" t="str">
        <f t="shared" si="1"/>
        <v>IRAN</v>
      </c>
      <c r="P44" s="91"/>
      <c r="Q44" s="75" t="str">
        <f t="shared" si="2"/>
        <v>IRAN</v>
      </c>
      <c r="R44" s="51"/>
      <c r="S44" s="51"/>
      <c r="T44" s="51"/>
      <c r="U44" s="51"/>
      <c r="V44" s="51"/>
      <c r="W44" s="50"/>
      <c r="X44" s="51"/>
      <c r="Y44" s="51"/>
      <c r="Z44" s="51"/>
      <c r="AA44" s="51"/>
      <c r="AB44" s="51"/>
      <c r="AC44" s="51"/>
      <c r="AD44" s="50"/>
      <c r="AE44" s="27" t="s">
        <v>33</v>
      </c>
      <c r="AF44" s="28">
        <v>3</v>
      </c>
      <c r="AG44" s="29" t="s">
        <v>47</v>
      </c>
      <c r="AH44" s="28">
        <v>2</v>
      </c>
      <c r="AI44" s="30" t="s">
        <v>31</v>
      </c>
      <c r="AJ44" s="50"/>
      <c r="AK44" s="50"/>
      <c r="AL44" s="50"/>
      <c r="AM44" s="50"/>
      <c r="AN44" s="50"/>
      <c r="AO44" s="51"/>
      <c r="AP44" s="51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</row>
    <row r="45" spans="1:69" x14ac:dyDescent="0.3">
      <c r="A45" s="50"/>
      <c r="B45" s="50"/>
      <c r="C45" s="50"/>
      <c r="D45" s="50"/>
      <c r="E45" s="50"/>
      <c r="F45" s="50"/>
      <c r="G45" s="50"/>
      <c r="H45" s="32">
        <v>29</v>
      </c>
      <c r="I45" s="183" t="str">
        <f>VLOOKUP(H45,fmwc_w!I:N,2,FALSE)</f>
        <v>CAPE VERDE</v>
      </c>
      <c r="J45" s="183"/>
      <c r="K45" s="183"/>
      <c r="L45" s="183"/>
      <c r="M45" s="183"/>
      <c r="N45" s="107" t="str">
        <f>VLOOKUP(H45,fmwc_w!I:N,3,FALSE)</f>
        <v>H3</v>
      </c>
      <c r="O45" s="112" t="str">
        <f t="shared" si="1"/>
        <v>CAPE VERDE</v>
      </c>
      <c r="P45" s="91"/>
      <c r="Q45" s="75" t="str">
        <f t="shared" si="2"/>
        <v>CAPE VERDE</v>
      </c>
      <c r="R45" s="51"/>
      <c r="S45" s="51"/>
      <c r="T45" s="51"/>
      <c r="U45" s="51"/>
      <c r="V45" s="51"/>
      <c r="W45" s="50"/>
      <c r="X45" s="51"/>
      <c r="Y45" s="51"/>
      <c r="Z45" s="51"/>
      <c r="AA45" s="51"/>
      <c r="AB45" s="51"/>
      <c r="AC45" s="51"/>
      <c r="AD45" s="50"/>
      <c r="AE45" s="23" t="s">
        <v>37</v>
      </c>
      <c r="AF45" s="24">
        <v>1</v>
      </c>
      <c r="AG45" s="25" t="s">
        <v>47</v>
      </c>
      <c r="AH45" s="24">
        <v>2</v>
      </c>
      <c r="AI45" s="26" t="s">
        <v>35</v>
      </c>
      <c r="AJ45" s="50"/>
      <c r="AK45" s="50"/>
      <c r="AL45" s="50"/>
      <c r="AM45" s="50"/>
      <c r="AN45" s="50"/>
      <c r="AO45" s="51"/>
      <c r="AP45" s="51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</row>
    <row r="46" spans="1:69" x14ac:dyDescent="0.3">
      <c r="A46" s="50"/>
      <c r="B46" s="50"/>
      <c r="C46" s="50"/>
      <c r="D46" s="50"/>
      <c r="E46" s="50"/>
      <c r="F46" s="50"/>
      <c r="G46" s="50"/>
      <c r="H46" s="32">
        <v>30</v>
      </c>
      <c r="I46" s="183" t="str">
        <f>VLOOKUP(H46,fmwc_w!I:N,2,FALSE)</f>
        <v>URUGUAY</v>
      </c>
      <c r="J46" s="183"/>
      <c r="K46" s="183"/>
      <c r="L46" s="183"/>
      <c r="M46" s="183"/>
      <c r="N46" s="107" t="str">
        <f>VLOOKUP(H46,fmwc_w!I:N,3,FALSE)</f>
        <v>H2</v>
      </c>
      <c r="O46" s="112" t="str">
        <f t="shared" si="1"/>
        <v>URUGUAY</v>
      </c>
      <c r="P46" s="91"/>
      <c r="Q46" s="75" t="str">
        <f t="shared" si="2"/>
        <v>URUGUAY</v>
      </c>
      <c r="R46" s="51"/>
      <c r="S46" s="51"/>
      <c r="T46" s="51"/>
      <c r="U46" s="51"/>
      <c r="V46" s="51"/>
      <c r="W46" s="50"/>
      <c r="X46" s="51"/>
      <c r="Y46" s="51"/>
      <c r="Z46" s="51"/>
      <c r="AA46" s="51"/>
      <c r="AB46" s="51"/>
      <c r="AC46" s="51"/>
      <c r="AD46" s="50"/>
      <c r="AE46" s="27" t="s">
        <v>38</v>
      </c>
      <c r="AF46" s="28">
        <v>5</v>
      </c>
      <c r="AG46" s="29" t="s">
        <v>47</v>
      </c>
      <c r="AH46" s="28">
        <v>0</v>
      </c>
      <c r="AI46" s="30" t="s">
        <v>40</v>
      </c>
      <c r="AJ46" s="50"/>
      <c r="AK46" s="31">
        <v>46196</v>
      </c>
      <c r="AL46" s="50"/>
      <c r="AM46" s="50"/>
      <c r="AN46" s="50"/>
      <c r="AO46" s="51"/>
      <c r="AP46" s="51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</row>
    <row r="47" spans="1:69" x14ac:dyDescent="0.3">
      <c r="A47" s="50"/>
      <c r="B47" s="50"/>
      <c r="C47" s="50"/>
      <c r="D47" s="50"/>
      <c r="E47" s="50"/>
      <c r="F47" s="50"/>
      <c r="G47" s="50"/>
      <c r="H47" s="32">
        <v>31</v>
      </c>
      <c r="I47" s="183" t="str">
        <f>VLOOKUP(H47,fmwc_w!I:N,2,FALSE)</f>
        <v>CONGO</v>
      </c>
      <c r="J47" s="183"/>
      <c r="K47" s="183"/>
      <c r="L47" s="183"/>
      <c r="M47" s="183"/>
      <c r="N47" s="107" t="str">
        <f>VLOOKUP(H47,fmwc_w!I:N,3,FALSE)</f>
        <v>K3</v>
      </c>
      <c r="O47" s="112" t="str">
        <f t="shared" si="1"/>
        <v>CONGO</v>
      </c>
      <c r="P47" s="91"/>
      <c r="Q47" s="75" t="str">
        <f t="shared" si="2"/>
        <v>CONGO</v>
      </c>
      <c r="R47" s="51"/>
      <c r="S47" s="51"/>
      <c r="T47" s="51"/>
      <c r="U47" s="51"/>
      <c r="V47" s="51"/>
      <c r="W47" s="50"/>
      <c r="X47" s="51"/>
      <c r="Y47" s="51"/>
      <c r="Z47" s="51"/>
      <c r="AA47" s="51"/>
      <c r="AB47" s="51"/>
      <c r="AC47" s="51"/>
      <c r="AD47" s="50"/>
      <c r="AE47" s="27" t="s">
        <v>42</v>
      </c>
      <c r="AF47" s="28">
        <v>0</v>
      </c>
      <c r="AG47" s="29" t="s">
        <v>47</v>
      </c>
      <c r="AH47" s="28">
        <v>0</v>
      </c>
      <c r="AI47" s="30" t="s">
        <v>44</v>
      </c>
      <c r="AJ47" s="50"/>
      <c r="AK47" s="50"/>
      <c r="AL47" s="50"/>
      <c r="AM47" s="50"/>
      <c r="AN47" s="50"/>
      <c r="AO47" s="51"/>
      <c r="AP47" s="51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</row>
    <row r="48" spans="1:69" ht="11.4" thickBot="1" x14ac:dyDescent="0.35">
      <c r="A48" s="50"/>
      <c r="B48" s="50"/>
      <c r="C48" s="50"/>
      <c r="D48" s="50"/>
      <c r="E48" s="50"/>
      <c r="F48" s="50"/>
      <c r="G48" s="50"/>
      <c r="H48" s="102">
        <v>32</v>
      </c>
      <c r="I48" s="184" t="str">
        <f>VLOOKUP(H48,fmwc_w!I:N,2,FALSE)</f>
        <v>CZECHIA</v>
      </c>
      <c r="J48" s="184"/>
      <c r="K48" s="184"/>
      <c r="L48" s="184"/>
      <c r="M48" s="184"/>
      <c r="N48" s="106" t="str">
        <f>VLOOKUP(H48,fmwc_w!I:N,3,FALSE)</f>
        <v>A3</v>
      </c>
      <c r="O48" s="112" t="str">
        <f t="shared" si="1"/>
        <v>CZECHIA</v>
      </c>
      <c r="P48" s="91"/>
      <c r="Q48" s="75" t="str">
        <f t="shared" si="2"/>
        <v>CZECHIA</v>
      </c>
      <c r="R48" s="51"/>
      <c r="S48" s="51"/>
      <c r="T48" s="51"/>
      <c r="U48" s="51"/>
      <c r="V48" s="51"/>
      <c r="W48" s="50"/>
      <c r="X48" s="51"/>
      <c r="Y48" s="51"/>
      <c r="Z48" s="51"/>
      <c r="AA48" s="51"/>
      <c r="AB48" s="51"/>
      <c r="AC48" s="51"/>
      <c r="AD48" s="50"/>
      <c r="AE48" s="3" t="s">
        <v>45</v>
      </c>
      <c r="AF48" s="7">
        <v>0</v>
      </c>
      <c r="AG48" s="1" t="s">
        <v>47</v>
      </c>
      <c r="AH48" s="7">
        <v>0</v>
      </c>
      <c r="AI48" s="2" t="s">
        <v>43</v>
      </c>
      <c r="AJ48" s="50"/>
      <c r="AK48" s="50"/>
      <c r="AL48" s="50"/>
      <c r="AM48" s="50"/>
      <c r="AN48" s="50"/>
      <c r="AO48" s="51"/>
      <c r="AP48" s="51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</row>
    <row r="49" spans="1:69" x14ac:dyDescent="0.3">
      <c r="A49" s="50"/>
      <c r="B49" s="50"/>
      <c r="C49" s="50"/>
      <c r="D49" s="50"/>
      <c r="E49" s="50"/>
      <c r="F49" s="50"/>
      <c r="G49" s="50"/>
      <c r="H49" s="32">
        <v>33</v>
      </c>
      <c r="I49" s="181" t="str">
        <f>VLOOKUP(H49,fmwc_w!I:N,2,FALSE)</f>
        <v>ECUDOR</v>
      </c>
      <c r="J49" s="181"/>
      <c r="K49" s="181"/>
      <c r="L49" s="181"/>
      <c r="M49" s="181"/>
      <c r="N49" s="108" t="str">
        <f>VLOOKUP(H49,fmwc_w!I:N,3,FALSE)</f>
        <v>E3</v>
      </c>
      <c r="O49" s="112" t="str">
        <f t="shared" si="1"/>
        <v>ECUDOR</v>
      </c>
      <c r="P49" s="91"/>
      <c r="Q49" s="51"/>
      <c r="R49" s="51"/>
      <c r="S49" s="51"/>
      <c r="T49" s="51"/>
      <c r="U49" s="51"/>
      <c r="V49" s="51"/>
      <c r="W49" s="50"/>
      <c r="X49" s="51"/>
      <c r="Y49" s="51"/>
      <c r="Z49" s="51"/>
      <c r="AA49" s="51"/>
      <c r="AB49" s="51"/>
      <c r="AC49" s="51"/>
      <c r="AD49" s="50"/>
      <c r="AE49" s="5" t="s">
        <v>41</v>
      </c>
      <c r="AF49" s="8">
        <v>0</v>
      </c>
      <c r="AG49" s="6" t="s">
        <v>47</v>
      </c>
      <c r="AH49" s="8">
        <v>0</v>
      </c>
      <c r="AI49" s="4" t="s">
        <v>39</v>
      </c>
      <c r="AJ49" s="50"/>
      <c r="AK49" s="50"/>
      <c r="AL49" s="50"/>
      <c r="AM49" s="50"/>
      <c r="AN49" s="50"/>
      <c r="AO49" s="51"/>
      <c r="AP49" s="51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</row>
    <row r="50" spans="1:69" x14ac:dyDescent="0.3">
      <c r="A50" s="50"/>
      <c r="B50" s="50"/>
      <c r="C50" s="50"/>
      <c r="D50" s="50"/>
      <c r="E50" s="50"/>
      <c r="F50" s="50"/>
      <c r="G50" s="50"/>
      <c r="H50" s="32">
        <v>34</v>
      </c>
      <c r="I50" s="179" t="str">
        <f>VLOOKUP(H50,fmwc_w!I:N,2,FALSE)</f>
        <v>SOUTH AFRICA</v>
      </c>
      <c r="J50" s="179"/>
      <c r="K50" s="179"/>
      <c r="L50" s="179"/>
      <c r="M50" s="179"/>
      <c r="N50" s="109" t="str">
        <f>VLOOKUP(H50,fmwc_w!I:N,3,FALSE)</f>
        <v>A4</v>
      </c>
      <c r="O50" s="112" t="str">
        <f t="shared" si="1"/>
        <v>SOUTH AFRICA</v>
      </c>
      <c r="P50" s="91"/>
      <c r="Q50" s="51"/>
      <c r="R50" s="51"/>
      <c r="S50" s="51"/>
      <c r="T50" s="51"/>
      <c r="U50" s="51"/>
      <c r="V50" s="51"/>
      <c r="W50" s="50"/>
      <c r="X50" s="51"/>
      <c r="Y50" s="51"/>
      <c r="Z50" s="51"/>
      <c r="AA50" s="51"/>
      <c r="AB50" s="51"/>
      <c r="AC50" s="51"/>
      <c r="AD50" s="50"/>
      <c r="AE50" s="3" t="s">
        <v>6</v>
      </c>
      <c r="AF50" s="7">
        <v>0</v>
      </c>
      <c r="AG50" s="1" t="s">
        <v>47</v>
      </c>
      <c r="AH50" s="7">
        <v>0</v>
      </c>
      <c r="AI50" s="2" t="s">
        <v>3</v>
      </c>
      <c r="AJ50" s="50"/>
      <c r="AK50" s="18">
        <v>46197</v>
      </c>
      <c r="AL50" s="50"/>
      <c r="AM50" s="50"/>
      <c r="AN50" s="50"/>
      <c r="AO50" s="51"/>
      <c r="AP50" s="51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</row>
    <row r="51" spans="1:69" x14ac:dyDescent="0.3">
      <c r="A51" s="50"/>
      <c r="B51" s="50"/>
      <c r="C51" s="50"/>
      <c r="D51" s="50"/>
      <c r="E51" s="50"/>
      <c r="F51" s="50"/>
      <c r="G51" s="50"/>
      <c r="H51" s="32">
        <v>35</v>
      </c>
      <c r="I51" s="179" t="str">
        <f>VLOOKUP(H51,fmwc_w!I:N,2,FALSE)</f>
        <v>NEW ZEALAND</v>
      </c>
      <c r="J51" s="179"/>
      <c r="K51" s="179"/>
      <c r="L51" s="179"/>
      <c r="M51" s="179"/>
      <c r="N51" s="109" t="str">
        <f>VLOOKUP(H51,fmwc_w!I:N,3,FALSE)</f>
        <v>G4</v>
      </c>
      <c r="O51" s="112" t="str">
        <f t="shared" si="1"/>
        <v>NEW ZEALAND</v>
      </c>
      <c r="P51" s="91"/>
      <c r="Q51" s="51"/>
      <c r="R51" s="51"/>
      <c r="S51" s="51"/>
      <c r="T51" s="51"/>
      <c r="U51" s="51"/>
      <c r="V51" s="51"/>
      <c r="W51" s="50"/>
      <c r="X51" s="51"/>
      <c r="Y51" s="51"/>
      <c r="Z51" s="51"/>
      <c r="AA51" s="51"/>
      <c r="AB51" s="51"/>
      <c r="AC51" s="51"/>
      <c r="AD51" s="50"/>
      <c r="AE51" s="3" t="s">
        <v>8</v>
      </c>
      <c r="AF51" s="7">
        <v>0</v>
      </c>
      <c r="AG51" s="1" t="s">
        <v>47</v>
      </c>
      <c r="AH51" s="7">
        <v>0</v>
      </c>
      <c r="AI51" s="2" t="s">
        <v>9</v>
      </c>
      <c r="AJ51" s="50"/>
      <c r="AK51" s="50"/>
      <c r="AL51" s="50"/>
      <c r="AM51" s="50"/>
      <c r="AN51" s="50"/>
      <c r="AO51" s="51"/>
      <c r="AP51" s="51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</row>
    <row r="52" spans="1:69" x14ac:dyDescent="0.3">
      <c r="A52" s="50"/>
      <c r="B52" s="50"/>
      <c r="C52" s="50"/>
      <c r="D52" s="50"/>
      <c r="E52" s="50"/>
      <c r="F52" s="50"/>
      <c r="G52" s="50"/>
      <c r="H52" s="32">
        <v>36</v>
      </c>
      <c r="I52" s="179" t="str">
        <f>VLOOKUP(H52,fmwc_w!I:N,2,FALSE)</f>
        <v>BOSNIA-HERZ</v>
      </c>
      <c r="J52" s="179"/>
      <c r="K52" s="179"/>
      <c r="L52" s="179"/>
      <c r="M52" s="179"/>
      <c r="N52" s="109" t="str">
        <f>VLOOKUP(H52,fmwc_w!I:N,3,FALSE)</f>
        <v>B3</v>
      </c>
      <c r="O52" s="112" t="str">
        <f t="shared" si="1"/>
        <v>BOSNIA-HERZ</v>
      </c>
      <c r="P52" s="91"/>
      <c r="Q52" s="51"/>
      <c r="R52" s="51"/>
      <c r="S52" s="51"/>
      <c r="T52" s="51"/>
      <c r="U52" s="51"/>
      <c r="V52" s="51"/>
      <c r="W52" s="50"/>
      <c r="X52" s="51"/>
      <c r="Y52" s="51"/>
      <c r="Z52" s="51"/>
      <c r="AA52" s="51"/>
      <c r="AB52" s="51"/>
      <c r="AC52" s="51"/>
      <c r="AD52" s="50"/>
      <c r="AE52" s="3" t="s">
        <v>10</v>
      </c>
      <c r="AF52" s="7">
        <v>0</v>
      </c>
      <c r="AG52" s="1" t="s">
        <v>47</v>
      </c>
      <c r="AH52" s="7">
        <v>0</v>
      </c>
      <c r="AI52" s="2" t="s">
        <v>7</v>
      </c>
      <c r="AJ52" s="50"/>
      <c r="AK52" s="50"/>
      <c r="AL52" s="50"/>
      <c r="AM52" s="50"/>
      <c r="AN52" s="50"/>
      <c r="AO52" s="51"/>
      <c r="AP52" s="51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</row>
    <row r="53" spans="1:69" x14ac:dyDescent="0.3">
      <c r="A53" s="50"/>
      <c r="B53" s="50"/>
      <c r="C53" s="50"/>
      <c r="D53" s="50"/>
      <c r="E53" s="50"/>
      <c r="F53" s="50"/>
      <c r="G53" s="50"/>
      <c r="H53" s="32">
        <v>37</v>
      </c>
      <c r="I53" s="179" t="str">
        <f>VLOOKUP(H53,fmwc_w!I:N,2,FALSE)</f>
        <v>SAUDI ARABIA</v>
      </c>
      <c r="J53" s="179"/>
      <c r="K53" s="179"/>
      <c r="L53" s="179"/>
      <c r="M53" s="179"/>
      <c r="N53" s="109" t="str">
        <f>VLOOKUP(H53,fmwc_w!I:N,3,FALSE)</f>
        <v>H4</v>
      </c>
      <c r="O53" s="112" t="str">
        <f t="shared" si="1"/>
        <v>SAUDI ARABIA</v>
      </c>
      <c r="P53" s="91"/>
      <c r="Q53" s="51"/>
      <c r="R53" s="51"/>
      <c r="S53" s="51"/>
      <c r="T53" s="51"/>
      <c r="U53" s="50"/>
      <c r="V53" s="51"/>
      <c r="W53" s="50"/>
      <c r="X53" s="51"/>
      <c r="Y53" s="51"/>
      <c r="Z53" s="51"/>
      <c r="AA53" s="51"/>
      <c r="AB53" s="51"/>
      <c r="AC53" s="51"/>
      <c r="AD53" s="50"/>
      <c r="AE53" s="3" t="s">
        <v>2</v>
      </c>
      <c r="AF53" s="7">
        <v>0</v>
      </c>
      <c r="AG53" s="1" t="s">
        <v>47</v>
      </c>
      <c r="AH53" s="7">
        <v>0</v>
      </c>
      <c r="AI53" s="2" t="s">
        <v>0</v>
      </c>
      <c r="AJ53" s="50"/>
      <c r="AK53" s="50"/>
      <c r="AL53" s="50"/>
      <c r="AM53" s="50"/>
      <c r="AN53" s="50"/>
      <c r="AO53" s="51"/>
      <c r="AP53" s="51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</row>
    <row r="54" spans="1:69" x14ac:dyDescent="0.3">
      <c r="A54" s="50"/>
      <c r="B54" s="50"/>
      <c r="C54" s="50"/>
      <c r="D54" s="50"/>
      <c r="E54" s="50"/>
      <c r="F54" s="50"/>
      <c r="G54" s="50"/>
      <c r="H54" s="32">
        <v>38</v>
      </c>
      <c r="I54" s="179" t="str">
        <f>VLOOKUP(H54,fmwc_w!I:N,2,FALSE)</f>
        <v>QATAR</v>
      </c>
      <c r="J54" s="179"/>
      <c r="K54" s="179"/>
      <c r="L54" s="179"/>
      <c r="M54" s="179"/>
      <c r="N54" s="109" t="str">
        <f>VLOOKUP(H54,fmwc_w!I:N,3,FALSE)</f>
        <v>B4</v>
      </c>
      <c r="O54" s="112" t="str">
        <f t="shared" si="1"/>
        <v>QATAR</v>
      </c>
      <c r="P54" s="91"/>
      <c r="Q54" s="51"/>
      <c r="R54" s="51"/>
      <c r="S54" s="51"/>
      <c r="T54" s="51"/>
      <c r="U54" s="51"/>
      <c r="V54" s="51"/>
      <c r="W54" s="50"/>
      <c r="X54" s="51"/>
      <c r="Y54" s="51"/>
      <c r="Z54" s="51"/>
      <c r="AA54" s="51"/>
      <c r="AB54" s="51"/>
      <c r="AC54" s="51"/>
      <c r="AD54" s="50"/>
      <c r="AE54" s="5" t="s">
        <v>1</v>
      </c>
      <c r="AF54" s="8">
        <v>0</v>
      </c>
      <c r="AG54" s="6" t="s">
        <v>47</v>
      </c>
      <c r="AH54" s="8">
        <v>0</v>
      </c>
      <c r="AI54" s="4" t="s">
        <v>48</v>
      </c>
      <c r="AJ54" s="50"/>
      <c r="AK54" s="50"/>
      <c r="AL54" s="50"/>
      <c r="AM54" s="50"/>
      <c r="AN54" s="50"/>
      <c r="AO54" s="51"/>
      <c r="AP54" s="51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</row>
    <row r="55" spans="1:69" x14ac:dyDescent="0.3">
      <c r="A55" s="50"/>
      <c r="B55" s="50"/>
      <c r="C55" s="50"/>
      <c r="D55" s="50"/>
      <c r="E55" s="50"/>
      <c r="F55" s="50"/>
      <c r="G55" s="50"/>
      <c r="H55" s="32">
        <v>39</v>
      </c>
      <c r="I55" s="179" t="str">
        <f>VLOOKUP(H55,fmwc_w!I:N,2,FALSE)</f>
        <v>CURACAO</v>
      </c>
      <c r="J55" s="179"/>
      <c r="K55" s="179"/>
      <c r="L55" s="179"/>
      <c r="M55" s="179"/>
      <c r="N55" s="109" t="str">
        <f>VLOOKUP(H55,fmwc_w!I:N,3,FALSE)</f>
        <v>E4</v>
      </c>
      <c r="O55" s="112" t="str">
        <f t="shared" si="1"/>
        <v>CURACAO</v>
      </c>
      <c r="P55" s="91"/>
      <c r="Q55" s="51"/>
      <c r="R55" s="51"/>
      <c r="S55" s="51"/>
      <c r="T55" s="51"/>
      <c r="U55" s="51"/>
      <c r="V55" s="51"/>
      <c r="W55" s="50"/>
      <c r="X55" s="51"/>
      <c r="Y55" s="51"/>
      <c r="Z55" s="51"/>
      <c r="AA55" s="51"/>
      <c r="AB55" s="51"/>
      <c r="AC55" s="51"/>
      <c r="AD55" s="50"/>
      <c r="AE55" s="3" t="s">
        <v>17</v>
      </c>
      <c r="AF55" s="7">
        <v>0</v>
      </c>
      <c r="AG55" s="1" t="s">
        <v>47</v>
      </c>
      <c r="AH55" s="7">
        <v>0</v>
      </c>
      <c r="AI55" s="2" t="s">
        <v>46</v>
      </c>
      <c r="AJ55" s="50"/>
      <c r="AK55" s="18">
        <v>46198</v>
      </c>
      <c r="AL55" s="50"/>
      <c r="AM55" s="50"/>
      <c r="AN55" s="50"/>
      <c r="AO55" s="51"/>
      <c r="AP55" s="51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</row>
    <row r="56" spans="1:69" x14ac:dyDescent="0.3">
      <c r="A56" s="50"/>
      <c r="B56" s="50"/>
      <c r="C56" s="50"/>
      <c r="D56" s="50"/>
      <c r="E56" s="50"/>
      <c r="F56" s="50"/>
      <c r="G56" s="50"/>
      <c r="H56" s="32">
        <v>40</v>
      </c>
      <c r="I56" s="179" t="str">
        <f>VLOOKUP(H56,fmwc_w!I:N,2,FALSE)</f>
        <v>PANAMA</v>
      </c>
      <c r="J56" s="179"/>
      <c r="K56" s="179"/>
      <c r="L56" s="179"/>
      <c r="M56" s="179"/>
      <c r="N56" s="109" t="str">
        <f>VLOOKUP(H56,fmwc_w!I:N,3,FALSE)</f>
        <v>L3</v>
      </c>
      <c r="O56" s="112" t="str">
        <f t="shared" si="1"/>
        <v>PANAMA</v>
      </c>
      <c r="P56" s="91"/>
      <c r="Q56" s="51"/>
      <c r="R56" s="51"/>
      <c r="S56" s="51"/>
      <c r="T56" s="51"/>
      <c r="U56" s="50"/>
      <c r="V56" s="51"/>
      <c r="W56" s="50"/>
      <c r="X56" s="51"/>
      <c r="Y56" s="51"/>
      <c r="Z56" s="51"/>
      <c r="AA56" s="51"/>
      <c r="AB56" s="51"/>
      <c r="AC56" s="51"/>
      <c r="AD56" s="50"/>
      <c r="AE56" s="3" t="s">
        <v>19</v>
      </c>
      <c r="AF56" s="7">
        <v>0</v>
      </c>
      <c r="AG56" s="1" t="s">
        <v>47</v>
      </c>
      <c r="AH56" s="7">
        <v>0</v>
      </c>
      <c r="AI56" s="2" t="s">
        <v>20</v>
      </c>
      <c r="AJ56" s="50"/>
      <c r="AK56" s="50"/>
      <c r="AL56" s="50"/>
      <c r="AM56" s="50"/>
      <c r="AN56" s="50"/>
      <c r="AO56" s="51"/>
      <c r="AP56" s="51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</row>
    <row r="57" spans="1:69" x14ac:dyDescent="0.3">
      <c r="A57" s="50"/>
      <c r="B57" s="50"/>
      <c r="C57" s="50"/>
      <c r="D57" s="50"/>
      <c r="E57" s="50"/>
      <c r="F57" s="50"/>
      <c r="G57" s="50"/>
      <c r="H57" s="32">
        <v>41</v>
      </c>
      <c r="I57" s="179" t="str">
        <f>VLOOKUP(H57,fmwc_w!I:N,2,FALSE)</f>
        <v>CROATIA</v>
      </c>
      <c r="J57" s="179"/>
      <c r="K57" s="179"/>
      <c r="L57" s="179"/>
      <c r="M57" s="179"/>
      <c r="N57" s="109" t="str">
        <f>VLOOKUP(H57,fmwc_w!I:N,3,FALSE)</f>
        <v>L4</v>
      </c>
      <c r="O57" s="112" t="str">
        <f t="shared" si="1"/>
        <v>CROATIA</v>
      </c>
      <c r="P57" s="91"/>
      <c r="Q57" s="51"/>
      <c r="R57" s="51"/>
      <c r="S57" s="92"/>
      <c r="T57" s="51"/>
      <c r="U57" s="50"/>
      <c r="V57" s="51"/>
      <c r="W57" s="50"/>
      <c r="X57" s="51"/>
      <c r="Y57" s="51"/>
      <c r="Z57" s="51"/>
      <c r="AA57" s="51"/>
      <c r="AB57" s="51"/>
      <c r="AC57" s="51"/>
      <c r="AD57" s="50"/>
      <c r="AE57" s="3" t="s">
        <v>21</v>
      </c>
      <c r="AF57" s="7">
        <v>0</v>
      </c>
      <c r="AG57" s="1" t="s">
        <v>47</v>
      </c>
      <c r="AH57" s="7">
        <v>0</v>
      </c>
      <c r="AI57" s="2" t="s">
        <v>18</v>
      </c>
      <c r="AJ57" s="50"/>
      <c r="AK57" s="50"/>
      <c r="AL57" s="50"/>
      <c r="AM57" s="50"/>
      <c r="AN57" s="50"/>
      <c r="AO57" s="51"/>
      <c r="AP57" s="51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</row>
    <row r="58" spans="1:69" x14ac:dyDescent="0.3">
      <c r="A58" s="50"/>
      <c r="B58" s="50"/>
      <c r="C58" s="50"/>
      <c r="D58" s="50"/>
      <c r="E58" s="50"/>
      <c r="F58" s="50"/>
      <c r="G58" s="50"/>
      <c r="H58" s="32">
        <v>42</v>
      </c>
      <c r="I58" s="179" t="str">
        <f>VLOOKUP(H58,fmwc_w!I:N,2,FALSE)</f>
        <v>TURKIYE</v>
      </c>
      <c r="J58" s="179"/>
      <c r="K58" s="179"/>
      <c r="L58" s="179"/>
      <c r="M58" s="179"/>
      <c r="N58" s="109" t="str">
        <f>VLOOKUP(H58,fmwc_w!I:N,3,FALSE)</f>
        <v>D4</v>
      </c>
      <c r="O58" s="112" t="str">
        <f t="shared" si="1"/>
        <v>TURKIYE</v>
      </c>
      <c r="P58" s="91"/>
      <c r="Q58" s="51"/>
      <c r="R58" s="51"/>
      <c r="S58" s="51"/>
      <c r="T58" s="51"/>
      <c r="U58" s="50"/>
      <c r="V58" s="51"/>
      <c r="W58" s="50"/>
      <c r="X58" s="51"/>
      <c r="Y58" s="51"/>
      <c r="Z58" s="51"/>
      <c r="AA58" s="51"/>
      <c r="AB58" s="51"/>
      <c r="AC58" s="51"/>
      <c r="AD58" s="50"/>
      <c r="AE58" s="3" t="s">
        <v>12</v>
      </c>
      <c r="AF58" s="7">
        <v>0</v>
      </c>
      <c r="AG58" s="1" t="s">
        <v>47</v>
      </c>
      <c r="AH58" s="7">
        <v>0</v>
      </c>
      <c r="AI58" s="2" t="s">
        <v>13</v>
      </c>
      <c r="AJ58" s="50"/>
      <c r="AK58" s="50"/>
      <c r="AL58" s="50"/>
      <c r="AM58" s="50"/>
      <c r="AN58" s="50"/>
      <c r="AO58" s="51"/>
      <c r="AP58" s="51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</row>
    <row r="59" spans="1:69" x14ac:dyDescent="0.3">
      <c r="A59" s="50"/>
      <c r="B59" s="50"/>
      <c r="C59" s="50"/>
      <c r="D59" s="50"/>
      <c r="E59" s="50"/>
      <c r="F59" s="50"/>
      <c r="G59" s="50"/>
      <c r="H59" s="32">
        <v>43</v>
      </c>
      <c r="I59" s="179" t="str">
        <f>VLOOKUP(H59,fmwc_w!I:N,2,FALSE)</f>
        <v>SENEGAL</v>
      </c>
      <c r="J59" s="179"/>
      <c r="K59" s="179"/>
      <c r="L59" s="179"/>
      <c r="M59" s="179"/>
      <c r="N59" s="109" t="str">
        <f>VLOOKUP(H59,fmwc_w!I:N,3,FALSE)</f>
        <v>I3</v>
      </c>
      <c r="O59" s="112" t="str">
        <f t="shared" si="1"/>
        <v>SENEGAL</v>
      </c>
      <c r="P59" s="91"/>
      <c r="Q59" s="51"/>
      <c r="R59" s="51"/>
      <c r="S59" s="51"/>
      <c r="T59" s="51"/>
      <c r="U59" s="50"/>
      <c r="V59" s="51"/>
      <c r="W59" s="50"/>
      <c r="X59" s="51"/>
      <c r="Y59" s="51"/>
      <c r="Z59" s="51"/>
      <c r="AA59" s="51"/>
      <c r="AB59" s="51"/>
      <c r="AC59" s="51"/>
      <c r="AD59" s="50"/>
      <c r="AE59" s="5" t="s">
        <v>14</v>
      </c>
      <c r="AF59" s="8">
        <v>0</v>
      </c>
      <c r="AG59" s="6" t="s">
        <v>47</v>
      </c>
      <c r="AH59" s="8">
        <v>0</v>
      </c>
      <c r="AI59" s="4" t="s">
        <v>11</v>
      </c>
      <c r="AJ59" s="50"/>
      <c r="AK59" s="50"/>
      <c r="AL59" s="50"/>
      <c r="AM59" s="50"/>
      <c r="AN59" s="50"/>
      <c r="AO59" s="51"/>
      <c r="AP59" s="51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</row>
    <row r="60" spans="1:69" x14ac:dyDescent="0.3">
      <c r="A60" s="50"/>
      <c r="B60" s="50"/>
      <c r="C60" s="50"/>
      <c r="D60" s="50"/>
      <c r="E60" s="50"/>
      <c r="F60" s="50"/>
      <c r="G60" s="50"/>
      <c r="H60" s="32">
        <v>44</v>
      </c>
      <c r="I60" s="179" t="str">
        <f>VLOOKUP(H60,fmwc_w!I:N,2,FALSE)</f>
        <v>JORDAN</v>
      </c>
      <c r="J60" s="179"/>
      <c r="K60" s="179"/>
      <c r="L60" s="179"/>
      <c r="M60" s="179"/>
      <c r="N60" s="109" t="str">
        <f>VLOOKUP(H60,fmwc_w!I:N,3,FALSE)</f>
        <v>J4</v>
      </c>
      <c r="O60" s="112" t="str">
        <f t="shared" si="1"/>
        <v>JORDAN</v>
      </c>
      <c r="P60" s="91"/>
      <c r="Q60" s="51"/>
      <c r="R60" s="51"/>
      <c r="S60" s="92"/>
      <c r="T60" s="51"/>
      <c r="U60" s="50"/>
      <c r="V60" s="51"/>
      <c r="W60" s="50"/>
      <c r="X60" s="51"/>
      <c r="Y60" s="51"/>
      <c r="Z60" s="51"/>
      <c r="AA60" s="51"/>
      <c r="AB60" s="51"/>
      <c r="AC60" s="51"/>
      <c r="AD60" s="50"/>
      <c r="AE60" s="3" t="s">
        <v>31</v>
      </c>
      <c r="AF60" s="7">
        <v>0</v>
      </c>
      <c r="AG60" s="1" t="s">
        <v>47</v>
      </c>
      <c r="AH60" s="7">
        <v>0</v>
      </c>
      <c r="AI60" s="2" t="s">
        <v>32</v>
      </c>
      <c r="AJ60" s="50"/>
      <c r="AK60" s="18">
        <v>46199</v>
      </c>
      <c r="AL60" s="50"/>
      <c r="AM60" s="50"/>
      <c r="AN60" s="50"/>
      <c r="AO60" s="51"/>
      <c r="AP60" s="51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</row>
    <row r="61" spans="1:69" x14ac:dyDescent="0.3">
      <c r="A61" s="50"/>
      <c r="B61" s="50"/>
      <c r="C61" s="50"/>
      <c r="D61" s="50"/>
      <c r="E61" s="50"/>
      <c r="F61" s="50"/>
      <c r="G61" s="50"/>
      <c r="H61" s="32">
        <v>45</v>
      </c>
      <c r="I61" s="179" t="str">
        <f>VLOOKUP(H61,fmwc_w!I:N,2,FALSE)</f>
        <v>HAITI</v>
      </c>
      <c r="J61" s="179"/>
      <c r="K61" s="179"/>
      <c r="L61" s="179"/>
      <c r="M61" s="179"/>
      <c r="N61" s="109" t="str">
        <f>VLOOKUP(H61,fmwc_w!I:N,3,FALSE)</f>
        <v>C4</v>
      </c>
      <c r="O61" s="112" t="str">
        <f t="shared" si="1"/>
        <v>HAITI</v>
      </c>
      <c r="P61" s="91"/>
      <c r="Q61" s="51"/>
      <c r="R61" s="51"/>
      <c r="S61" s="51"/>
      <c r="T61" s="51"/>
      <c r="U61" s="51"/>
      <c r="V61" s="51"/>
      <c r="W61" s="50"/>
      <c r="X61" s="51"/>
      <c r="Y61" s="51"/>
      <c r="Z61" s="51"/>
      <c r="AA61" s="51"/>
      <c r="AB61" s="51"/>
      <c r="AC61" s="51"/>
      <c r="AD61" s="50"/>
      <c r="AE61" s="3" t="s">
        <v>27</v>
      </c>
      <c r="AF61" s="7">
        <v>0</v>
      </c>
      <c r="AG61" s="1" t="s">
        <v>47</v>
      </c>
      <c r="AH61" s="7">
        <v>0</v>
      </c>
      <c r="AI61" s="2" t="s">
        <v>28</v>
      </c>
      <c r="AJ61" s="50"/>
      <c r="AK61" s="50"/>
      <c r="AL61" s="50"/>
      <c r="AM61" s="50"/>
      <c r="AN61" s="50"/>
      <c r="AO61" s="51"/>
      <c r="AP61" s="51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</row>
    <row r="62" spans="1:69" x14ac:dyDescent="0.3">
      <c r="A62" s="50"/>
      <c r="B62" s="50"/>
      <c r="C62" s="50"/>
      <c r="D62" s="50"/>
      <c r="E62" s="50"/>
      <c r="F62" s="50"/>
      <c r="G62" s="50"/>
      <c r="H62" s="32">
        <v>46</v>
      </c>
      <c r="I62" s="179" t="str">
        <f>VLOOKUP(H62,fmwc_w!I:N,2,FALSE)</f>
        <v>IRAQ</v>
      </c>
      <c r="J62" s="179"/>
      <c r="K62" s="179"/>
      <c r="L62" s="179"/>
      <c r="M62" s="179"/>
      <c r="N62" s="109" t="str">
        <f>VLOOKUP(H62,fmwc_w!I:N,3,FALSE)</f>
        <v>I4</v>
      </c>
      <c r="O62" s="112" t="str">
        <f t="shared" si="1"/>
        <v>IRAQ</v>
      </c>
      <c r="P62" s="91"/>
      <c r="Q62" s="51"/>
      <c r="R62" s="51"/>
      <c r="S62" s="51"/>
      <c r="T62" s="51"/>
      <c r="U62" s="51"/>
      <c r="V62" s="51"/>
      <c r="W62" s="50"/>
      <c r="X62" s="51"/>
      <c r="Y62" s="51"/>
      <c r="Z62" s="51"/>
      <c r="AA62" s="51"/>
      <c r="AB62" s="51"/>
      <c r="AC62" s="51"/>
      <c r="AD62" s="50"/>
      <c r="AE62" s="3" t="s">
        <v>29</v>
      </c>
      <c r="AF62" s="7">
        <v>0</v>
      </c>
      <c r="AG62" s="1" t="s">
        <v>47</v>
      </c>
      <c r="AH62" s="7">
        <v>0</v>
      </c>
      <c r="AI62" s="2" t="s">
        <v>26</v>
      </c>
      <c r="AJ62" s="50"/>
      <c r="AK62" s="50"/>
      <c r="AL62" s="50"/>
      <c r="AM62" s="50"/>
      <c r="AN62" s="50"/>
      <c r="AO62" s="51"/>
      <c r="AP62" s="51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</row>
    <row r="63" spans="1:69" x14ac:dyDescent="0.3">
      <c r="A63" s="50"/>
      <c r="B63" s="50"/>
      <c r="C63" s="50"/>
      <c r="D63" s="50"/>
      <c r="E63" s="50"/>
      <c r="F63" s="50"/>
      <c r="G63" s="50"/>
      <c r="H63" s="32">
        <v>47</v>
      </c>
      <c r="I63" s="179" t="str">
        <f>VLOOKUP(H63,fmwc_w!I:N,2,FALSE)</f>
        <v>UZBEKISTAN</v>
      </c>
      <c r="J63" s="179"/>
      <c r="K63" s="179"/>
      <c r="L63" s="179"/>
      <c r="M63" s="179"/>
      <c r="N63" s="109" t="str">
        <f>VLOOKUP(H63,fmwc_w!I:N,3,FALSE)</f>
        <v>K4</v>
      </c>
      <c r="O63" s="112" t="str">
        <f t="shared" si="1"/>
        <v>UZBEKISTAN</v>
      </c>
      <c r="P63" s="91"/>
      <c r="Q63" s="51"/>
      <c r="R63" s="51"/>
      <c r="S63" s="51"/>
      <c r="T63" s="51"/>
      <c r="U63" s="50"/>
      <c r="V63" s="51"/>
      <c r="W63" s="50"/>
      <c r="X63" s="51"/>
      <c r="Y63" s="51"/>
      <c r="Z63" s="51"/>
      <c r="AA63" s="51"/>
      <c r="AB63" s="51"/>
      <c r="AC63" s="51"/>
      <c r="AD63" s="50"/>
      <c r="AE63" s="3" t="s">
        <v>23</v>
      </c>
      <c r="AF63" s="7">
        <v>0</v>
      </c>
      <c r="AG63" s="1" t="s">
        <v>47</v>
      </c>
      <c r="AH63" s="7">
        <v>0</v>
      </c>
      <c r="AI63" s="2" t="s">
        <v>24</v>
      </c>
      <c r="AJ63" s="50"/>
      <c r="AK63" s="50"/>
      <c r="AL63" s="50"/>
      <c r="AM63" s="50"/>
      <c r="AN63" s="50"/>
      <c r="AO63" s="51"/>
      <c r="AP63" s="51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</row>
    <row r="64" spans="1:69" ht="11.4" thickBot="1" x14ac:dyDescent="0.35">
      <c r="A64" s="50"/>
      <c r="B64" s="50"/>
      <c r="C64" s="50"/>
      <c r="D64" s="50"/>
      <c r="E64" s="50"/>
      <c r="F64" s="50"/>
      <c r="G64" s="50"/>
      <c r="H64" s="102">
        <v>48</v>
      </c>
      <c r="I64" s="180" t="str">
        <f>VLOOKUP(H64,fmwc_w!I:N,2,FALSE)</f>
        <v>TUNISIA</v>
      </c>
      <c r="J64" s="180"/>
      <c r="K64" s="180"/>
      <c r="L64" s="180"/>
      <c r="M64" s="180"/>
      <c r="N64" s="110" t="str">
        <f>VLOOKUP(H64,fmwc_w!I:N,3,FALSE)</f>
        <v>F4</v>
      </c>
      <c r="O64" s="112" t="str">
        <f t="shared" si="1"/>
        <v>TUNISIA</v>
      </c>
      <c r="P64" s="91"/>
      <c r="Q64" s="51"/>
      <c r="R64" s="51"/>
      <c r="S64" s="51"/>
      <c r="T64" s="51"/>
      <c r="U64" s="51"/>
      <c r="V64" s="51"/>
      <c r="W64" s="50"/>
      <c r="X64" s="51"/>
      <c r="Y64" s="51"/>
      <c r="Z64" s="51"/>
      <c r="AA64" s="51"/>
      <c r="AB64" s="51"/>
      <c r="AC64" s="51"/>
      <c r="AD64" s="50"/>
      <c r="AE64" s="5" t="s">
        <v>25</v>
      </c>
      <c r="AF64" s="8">
        <v>0</v>
      </c>
      <c r="AG64" s="6" t="s">
        <v>47</v>
      </c>
      <c r="AH64" s="8">
        <v>0</v>
      </c>
      <c r="AI64" s="4" t="s">
        <v>22</v>
      </c>
      <c r="AJ64" s="50"/>
      <c r="AK64" s="50"/>
      <c r="AL64" s="50"/>
      <c r="AM64" s="50"/>
      <c r="AN64" s="50"/>
      <c r="AO64" s="51"/>
      <c r="AP64" s="51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</row>
    <row r="65" spans="1:69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3"/>
      <c r="L65" s="53"/>
      <c r="M65" s="53"/>
      <c r="N65" s="53"/>
      <c r="O65" s="51"/>
      <c r="P65" s="91"/>
      <c r="Q65" s="51"/>
      <c r="R65" s="51"/>
      <c r="S65" s="51"/>
      <c r="T65" s="51"/>
      <c r="U65" s="51"/>
      <c r="V65" s="51"/>
      <c r="W65" s="50"/>
      <c r="X65" s="51"/>
      <c r="Y65" s="51"/>
      <c r="Z65" s="51"/>
      <c r="AA65" s="51"/>
      <c r="AB65" s="51"/>
      <c r="AC65" s="51"/>
      <c r="AD65" s="50"/>
      <c r="AE65" s="3" t="s">
        <v>45</v>
      </c>
      <c r="AF65" s="7">
        <v>0</v>
      </c>
      <c r="AG65" s="1" t="s">
        <v>47</v>
      </c>
      <c r="AH65" s="7">
        <v>0</v>
      </c>
      <c r="AI65" s="2" t="s">
        <v>42</v>
      </c>
      <c r="AJ65" s="50"/>
      <c r="AK65" s="18">
        <v>46200</v>
      </c>
      <c r="AL65" s="50"/>
      <c r="AM65" s="50"/>
      <c r="AN65" s="50"/>
      <c r="AO65" s="51"/>
      <c r="AP65" s="51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</row>
    <row r="66" spans="1:69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3"/>
      <c r="L66" s="53"/>
      <c r="M66" s="53"/>
      <c r="N66" s="53"/>
      <c r="O66" s="51"/>
      <c r="P66" s="91"/>
      <c r="Q66" s="51"/>
      <c r="R66" s="51"/>
      <c r="S66" s="51"/>
      <c r="T66" s="51"/>
      <c r="U66" s="50"/>
      <c r="V66" s="51"/>
      <c r="W66" s="50"/>
      <c r="X66" s="51"/>
      <c r="Y66" s="51"/>
      <c r="Z66" s="51"/>
      <c r="AA66" s="51"/>
      <c r="AB66" s="51"/>
      <c r="AC66" s="51"/>
      <c r="AD66" s="50"/>
      <c r="AE66" s="3" t="s">
        <v>41</v>
      </c>
      <c r="AF66" s="7">
        <v>0</v>
      </c>
      <c r="AG66" s="1" t="s">
        <v>47</v>
      </c>
      <c r="AH66" s="7">
        <v>0</v>
      </c>
      <c r="AI66" s="2" t="s">
        <v>38</v>
      </c>
      <c r="AJ66" s="50"/>
      <c r="AK66" s="50"/>
      <c r="AL66" s="50"/>
      <c r="AM66" s="50"/>
      <c r="AN66" s="50"/>
      <c r="AO66" s="51"/>
      <c r="AP66" s="51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</row>
    <row r="67" spans="1:69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3"/>
      <c r="L67" s="53"/>
      <c r="M67" s="53"/>
      <c r="N67" s="53"/>
      <c r="O67" s="51"/>
      <c r="P67" s="91"/>
      <c r="Q67" s="51"/>
      <c r="R67" s="51"/>
      <c r="S67" s="51"/>
      <c r="T67" s="51"/>
      <c r="U67" s="51"/>
      <c r="V67" s="51"/>
      <c r="W67" s="50"/>
      <c r="X67" s="51"/>
      <c r="Y67" s="51"/>
      <c r="Z67" s="51"/>
      <c r="AA67" s="51"/>
      <c r="AB67" s="51"/>
      <c r="AC67" s="51"/>
      <c r="AD67" s="50"/>
      <c r="AE67" s="3" t="s">
        <v>39</v>
      </c>
      <c r="AF67" s="7">
        <v>0</v>
      </c>
      <c r="AG67" s="1" t="s">
        <v>47</v>
      </c>
      <c r="AH67" s="7">
        <v>0</v>
      </c>
      <c r="AI67" s="2" t="s">
        <v>40</v>
      </c>
      <c r="AJ67" s="50"/>
      <c r="AK67" s="50"/>
      <c r="AL67" s="50"/>
      <c r="AM67" s="50"/>
      <c r="AN67" s="50"/>
      <c r="AO67" s="51"/>
      <c r="AP67" s="51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</row>
    <row r="68" spans="1:69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3"/>
      <c r="L68" s="53"/>
      <c r="M68" s="53"/>
      <c r="N68" s="53"/>
      <c r="O68" s="51"/>
      <c r="P68" s="91"/>
      <c r="Q68" s="51"/>
      <c r="R68" s="51"/>
      <c r="S68" s="51"/>
      <c r="T68" s="51"/>
      <c r="U68" s="51"/>
      <c r="V68" s="51"/>
      <c r="W68" s="50"/>
      <c r="X68" s="51"/>
      <c r="Y68" s="51"/>
      <c r="Z68" s="51"/>
      <c r="AA68" s="51"/>
      <c r="AB68" s="51"/>
      <c r="AC68" s="51"/>
      <c r="AD68" s="50"/>
      <c r="AE68" s="3" t="s">
        <v>35</v>
      </c>
      <c r="AF68" s="7">
        <v>0</v>
      </c>
      <c r="AG68" s="1" t="s">
        <v>47</v>
      </c>
      <c r="AH68" s="7">
        <v>0</v>
      </c>
      <c r="AI68" s="2" t="s">
        <v>36</v>
      </c>
      <c r="AJ68" s="50"/>
      <c r="AK68" s="50"/>
      <c r="AL68" s="50"/>
      <c r="AM68" s="50"/>
      <c r="AN68" s="50"/>
      <c r="AO68" s="51"/>
      <c r="AP68" s="51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</row>
    <row r="69" spans="1:69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3"/>
      <c r="L69" s="53"/>
      <c r="M69" s="53"/>
      <c r="N69" s="53"/>
      <c r="O69" s="51"/>
      <c r="P69" s="91"/>
      <c r="Q69" s="51"/>
      <c r="R69" s="51"/>
      <c r="S69" s="51"/>
      <c r="T69" s="51"/>
      <c r="U69" s="51"/>
      <c r="V69" s="51"/>
      <c r="W69" s="50"/>
      <c r="X69" s="51"/>
      <c r="Y69" s="51"/>
      <c r="Z69" s="51"/>
      <c r="AA69" s="51"/>
      <c r="AB69" s="51"/>
      <c r="AC69" s="51"/>
      <c r="AD69" s="50"/>
      <c r="AE69" s="5" t="s">
        <v>37</v>
      </c>
      <c r="AF69" s="8">
        <v>0</v>
      </c>
      <c r="AG69" s="6" t="s">
        <v>47</v>
      </c>
      <c r="AH69" s="8">
        <v>0</v>
      </c>
      <c r="AI69" s="4" t="s">
        <v>34</v>
      </c>
      <c r="AJ69" s="50"/>
      <c r="AK69" s="50"/>
      <c r="AL69" s="50"/>
      <c r="AM69" s="50"/>
      <c r="AN69" s="50"/>
      <c r="AO69" s="51"/>
      <c r="AP69" s="51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</row>
    <row r="70" spans="1:69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3"/>
      <c r="L70" s="53"/>
      <c r="M70" s="53"/>
      <c r="N70" s="53"/>
      <c r="O70" s="51"/>
      <c r="P70" s="91"/>
      <c r="Q70" s="51"/>
      <c r="R70" s="51"/>
      <c r="S70" s="51"/>
      <c r="T70" s="51"/>
      <c r="U70" s="51"/>
      <c r="V70" s="50"/>
      <c r="W70" s="50"/>
      <c r="X70" s="50"/>
      <c r="Y70" s="50"/>
      <c r="Z70" s="50"/>
      <c r="AA70" s="50"/>
      <c r="AB70" s="50"/>
      <c r="AC70" s="50"/>
      <c r="AD70" s="2">
        <v>1</v>
      </c>
      <c r="AE70" s="89" t="s">
        <v>93</v>
      </c>
      <c r="AF70" s="8">
        <v>0</v>
      </c>
      <c r="AG70" s="6" t="s">
        <v>47</v>
      </c>
      <c r="AH70" s="8">
        <v>0</v>
      </c>
      <c r="AI70" s="90" t="s">
        <v>94</v>
      </c>
      <c r="AJ70" s="50"/>
      <c r="AK70" s="18">
        <v>46201</v>
      </c>
      <c r="AL70" s="50"/>
      <c r="AM70" s="50"/>
      <c r="AN70" s="50"/>
      <c r="AO70" s="51"/>
      <c r="AP70" s="51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</row>
    <row r="71" spans="1:69" x14ac:dyDescent="0.3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3"/>
      <c r="L71" s="53"/>
      <c r="M71" s="53"/>
      <c r="N71" s="53"/>
      <c r="O71" s="51"/>
      <c r="P71" s="91"/>
      <c r="Q71" s="51"/>
      <c r="R71" s="51"/>
      <c r="S71" s="51"/>
      <c r="T71" s="51"/>
      <c r="U71" s="51"/>
      <c r="V71" s="50"/>
      <c r="W71" s="50"/>
      <c r="X71" s="50"/>
      <c r="Y71" s="50"/>
      <c r="Z71" s="50"/>
      <c r="AA71" s="50"/>
      <c r="AB71" s="50"/>
      <c r="AC71" s="50"/>
      <c r="AD71" s="2">
        <v>2</v>
      </c>
      <c r="AE71" s="3" t="s">
        <v>83</v>
      </c>
      <c r="AF71" s="7">
        <v>0</v>
      </c>
      <c r="AG71" s="1" t="s">
        <v>47</v>
      </c>
      <c r="AH71" s="7">
        <v>0</v>
      </c>
      <c r="AI71" s="2" t="s">
        <v>98</v>
      </c>
      <c r="AJ71" s="50"/>
      <c r="AK71" s="18">
        <v>46202</v>
      </c>
      <c r="AL71" s="50"/>
      <c r="AM71" s="50"/>
      <c r="AN71" s="50"/>
      <c r="AO71" s="51"/>
      <c r="AP71" s="51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</row>
    <row r="72" spans="1:69" x14ac:dyDescent="0.3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3"/>
      <c r="L72" s="53"/>
      <c r="M72" s="53"/>
      <c r="N72" s="53"/>
      <c r="O72" s="51"/>
      <c r="P72" s="91"/>
      <c r="Q72" s="51"/>
      <c r="R72" s="51"/>
      <c r="S72" s="51"/>
      <c r="T72" s="51"/>
      <c r="U72" s="51"/>
      <c r="V72" s="50"/>
      <c r="W72" s="50"/>
      <c r="X72" s="50"/>
      <c r="Y72" s="50"/>
      <c r="Z72" s="50"/>
      <c r="AA72" s="50"/>
      <c r="AB72" s="50"/>
      <c r="AC72" s="50"/>
      <c r="AD72" s="2">
        <v>3</v>
      </c>
      <c r="AE72" s="3" t="s">
        <v>85</v>
      </c>
      <c r="AF72" s="7">
        <v>0</v>
      </c>
      <c r="AG72" s="1" t="s">
        <v>47</v>
      </c>
      <c r="AH72" s="7">
        <v>0</v>
      </c>
      <c r="AI72" s="50" t="s">
        <v>117</v>
      </c>
      <c r="AJ72" s="50"/>
      <c r="AK72" s="54"/>
      <c r="AL72" s="76" t="str">
        <f>'annex c'!F3</f>
        <v>C3</v>
      </c>
      <c r="AM72" s="76"/>
      <c r="AN72" s="76"/>
      <c r="AO72" s="51"/>
      <c r="AP72" s="51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</row>
    <row r="73" spans="1:69" x14ac:dyDescent="0.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3"/>
      <c r="L73" s="53"/>
      <c r="M73" s="53"/>
      <c r="N73" s="53"/>
      <c r="O73" s="51"/>
      <c r="P73" s="91"/>
      <c r="Q73" s="51"/>
      <c r="R73" s="51"/>
      <c r="S73" s="51"/>
      <c r="T73" s="51"/>
      <c r="U73" s="51"/>
      <c r="V73" s="50"/>
      <c r="W73" s="50"/>
      <c r="X73" s="50"/>
      <c r="Y73" s="50"/>
      <c r="Z73" s="50"/>
      <c r="AA73" s="50"/>
      <c r="AB73" s="50"/>
      <c r="AC73" s="50"/>
      <c r="AD73" s="2">
        <v>4</v>
      </c>
      <c r="AE73" s="5" t="s">
        <v>86</v>
      </c>
      <c r="AF73" s="8">
        <v>0</v>
      </c>
      <c r="AG73" s="6" t="s">
        <v>47</v>
      </c>
      <c r="AH73" s="8">
        <v>0</v>
      </c>
      <c r="AI73" s="4" t="s">
        <v>95</v>
      </c>
      <c r="AJ73" s="50"/>
      <c r="AK73" s="54"/>
      <c r="AL73" s="76"/>
      <c r="AM73" s="76"/>
      <c r="AN73" s="76"/>
      <c r="AO73" s="51"/>
      <c r="AP73" s="51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</row>
    <row r="74" spans="1:69" x14ac:dyDescent="0.3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3"/>
      <c r="L74" s="53"/>
      <c r="M74" s="53"/>
      <c r="N74" s="53"/>
      <c r="O74" s="51"/>
      <c r="P74" s="91"/>
      <c r="Q74" s="51"/>
      <c r="R74" s="51"/>
      <c r="S74" s="51"/>
      <c r="T74" s="51"/>
      <c r="U74" s="51"/>
      <c r="V74" s="50"/>
      <c r="W74" s="50"/>
      <c r="X74" s="50"/>
      <c r="Y74" s="50"/>
      <c r="Z74" s="50"/>
      <c r="AA74" s="50"/>
      <c r="AB74" s="50"/>
      <c r="AC74" s="50"/>
      <c r="AD74" s="2">
        <v>5</v>
      </c>
      <c r="AE74" s="3" t="s">
        <v>97</v>
      </c>
      <c r="AF74" s="7">
        <v>0</v>
      </c>
      <c r="AG74" s="1" t="s">
        <v>47</v>
      </c>
      <c r="AH74" s="7">
        <v>0</v>
      </c>
      <c r="AI74" s="2" t="s">
        <v>101</v>
      </c>
      <c r="AJ74" s="50"/>
      <c r="AK74" s="18">
        <v>46203</v>
      </c>
      <c r="AL74" s="76"/>
      <c r="AM74" s="76"/>
      <c r="AN74" s="76"/>
      <c r="AO74" s="51"/>
      <c r="AP74" s="51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</row>
    <row r="75" spans="1:69" x14ac:dyDescent="0.3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3"/>
      <c r="L75" s="53"/>
      <c r="M75" s="53"/>
      <c r="N75" s="53"/>
      <c r="O75" s="51"/>
      <c r="P75" s="91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2">
        <v>6</v>
      </c>
      <c r="AE75" s="3" t="s">
        <v>89</v>
      </c>
      <c r="AF75" s="7">
        <v>0</v>
      </c>
      <c r="AG75" s="1" t="s">
        <v>47</v>
      </c>
      <c r="AH75" s="7">
        <v>0</v>
      </c>
      <c r="AI75" s="50" t="s">
        <v>118</v>
      </c>
      <c r="AJ75" s="50"/>
      <c r="AK75" s="51"/>
      <c r="AL75" s="76" t="str">
        <f>'annex c'!H3</f>
        <v>F3</v>
      </c>
      <c r="AM75" s="76"/>
      <c r="AN75" s="76"/>
      <c r="AO75" s="51"/>
      <c r="AP75" s="51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</row>
    <row r="76" spans="1:69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3"/>
      <c r="L76" s="53"/>
      <c r="M76" s="53"/>
      <c r="N76" s="53"/>
      <c r="O76" s="51"/>
      <c r="P76" s="91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2">
        <v>7</v>
      </c>
      <c r="AE76" s="5" t="s">
        <v>81</v>
      </c>
      <c r="AF76" s="8">
        <v>0</v>
      </c>
      <c r="AG76" s="6" t="s">
        <v>47</v>
      </c>
      <c r="AH76" s="8">
        <v>0</v>
      </c>
      <c r="AI76" s="68" t="s">
        <v>119</v>
      </c>
      <c r="AJ76" s="50"/>
      <c r="AK76" s="51"/>
      <c r="AL76" s="76" t="str">
        <f>'annex c'!C3</f>
        <v>H3</v>
      </c>
      <c r="AM76" s="76"/>
      <c r="AN76" s="76"/>
      <c r="AO76" s="51"/>
      <c r="AP76" s="51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</row>
    <row r="77" spans="1:69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3"/>
      <c r="L77" s="53"/>
      <c r="M77" s="53"/>
      <c r="N77" s="53"/>
      <c r="O77" s="51"/>
      <c r="P77" s="91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2">
        <v>8</v>
      </c>
      <c r="AE77" s="3" t="s">
        <v>92</v>
      </c>
      <c r="AF77" s="7">
        <v>0</v>
      </c>
      <c r="AG77" s="1" t="s">
        <v>47</v>
      </c>
      <c r="AH77" s="7">
        <v>0</v>
      </c>
      <c r="AI77" s="50" t="s">
        <v>120</v>
      </c>
      <c r="AJ77" s="50"/>
      <c r="AK77" s="18">
        <v>46204</v>
      </c>
      <c r="AL77" s="76" t="str">
        <f>'annex c'!J3</f>
        <v>K3</v>
      </c>
      <c r="AM77" s="76"/>
      <c r="AN77" s="76"/>
      <c r="AO77" s="51"/>
      <c r="AP77" s="51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</row>
    <row r="78" spans="1:69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3"/>
      <c r="L78" s="53"/>
      <c r="M78" s="53"/>
      <c r="N78" s="53"/>
      <c r="O78" s="51"/>
      <c r="P78" s="91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2">
        <v>9</v>
      </c>
      <c r="AE78" s="3" t="s">
        <v>87</v>
      </c>
      <c r="AF78" s="7">
        <v>0</v>
      </c>
      <c r="AG78" s="1" t="s">
        <v>47</v>
      </c>
      <c r="AH78" s="7">
        <v>0</v>
      </c>
      <c r="AI78" s="50" t="s">
        <v>121</v>
      </c>
      <c r="AJ78" s="50"/>
      <c r="AK78" s="51"/>
      <c r="AL78" s="76" t="str">
        <f>'annex c'!G3</f>
        <v>A3</v>
      </c>
      <c r="AM78" s="76"/>
      <c r="AN78" s="76"/>
      <c r="AO78" s="51"/>
      <c r="AP78" s="51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</row>
    <row r="79" spans="1:69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3"/>
      <c r="L79" s="53"/>
      <c r="M79" s="53"/>
      <c r="N79" s="53"/>
      <c r="O79" s="51"/>
      <c r="P79" s="91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2">
        <v>10</v>
      </c>
      <c r="AE79" s="5" t="s">
        <v>84</v>
      </c>
      <c r="AF79" s="8">
        <v>0</v>
      </c>
      <c r="AG79" s="6" t="s">
        <v>47</v>
      </c>
      <c r="AH79" s="8">
        <v>0</v>
      </c>
      <c r="AI79" s="68" t="s">
        <v>122</v>
      </c>
      <c r="AJ79" s="50"/>
      <c r="AK79" s="51"/>
      <c r="AL79" s="76" t="str">
        <f>'annex c'!E3</f>
        <v>J3</v>
      </c>
      <c r="AM79" s="76"/>
      <c r="AN79" s="76"/>
      <c r="AO79" s="51"/>
      <c r="AP79" s="51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</row>
    <row r="80" spans="1:69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3"/>
      <c r="L80" s="53"/>
      <c r="M80" s="53"/>
      <c r="N80" s="53"/>
      <c r="O80" s="51"/>
      <c r="P80" s="91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2">
        <v>11</v>
      </c>
      <c r="AE80" s="3" t="s">
        <v>88</v>
      </c>
      <c r="AF80" s="7">
        <v>0</v>
      </c>
      <c r="AG80" s="1" t="s">
        <v>47</v>
      </c>
      <c r="AH80" s="7">
        <v>0</v>
      </c>
      <c r="AI80" s="2" t="s">
        <v>102</v>
      </c>
      <c r="AJ80" s="50"/>
      <c r="AK80" s="18">
        <v>46205</v>
      </c>
      <c r="AL80" s="76"/>
      <c r="AM80" s="76"/>
      <c r="AN80" s="76"/>
      <c r="AO80" s="51"/>
      <c r="AP80" s="51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</row>
    <row r="81" spans="1:69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3"/>
      <c r="L81" s="53"/>
      <c r="M81" s="53"/>
      <c r="N81" s="53"/>
      <c r="O81" s="51"/>
      <c r="P81" s="91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2">
        <v>12</v>
      </c>
      <c r="AE81" s="3" t="s">
        <v>103</v>
      </c>
      <c r="AF81" s="7">
        <v>0</v>
      </c>
      <c r="AG81" s="1" t="s">
        <v>47</v>
      </c>
      <c r="AH81" s="7">
        <v>0</v>
      </c>
      <c r="AI81" s="2" t="s">
        <v>104</v>
      </c>
      <c r="AJ81" s="50"/>
      <c r="AK81" s="51"/>
      <c r="AL81" s="76"/>
      <c r="AM81" s="76"/>
      <c r="AN81" s="76"/>
      <c r="AO81" s="51"/>
      <c r="AP81" s="51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</row>
    <row r="82" spans="1:69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3"/>
      <c r="L82" s="53"/>
      <c r="M82" s="53"/>
      <c r="N82" s="53"/>
      <c r="O82" s="51"/>
      <c r="P82" s="91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2">
        <v>13</v>
      </c>
      <c r="AE82" s="5" t="s">
        <v>82</v>
      </c>
      <c r="AF82" s="8">
        <v>0</v>
      </c>
      <c r="AG82" s="6" t="s">
        <v>47</v>
      </c>
      <c r="AH82" s="8">
        <v>0</v>
      </c>
      <c r="AI82" s="68" t="s">
        <v>123</v>
      </c>
      <c r="AJ82" s="50"/>
      <c r="AK82" s="51"/>
      <c r="AL82" s="76" t="str">
        <f>'annex c'!D3</f>
        <v>G3</v>
      </c>
      <c r="AM82" s="76"/>
      <c r="AN82" s="76"/>
      <c r="AO82" s="51"/>
      <c r="AP82" s="51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</row>
    <row r="83" spans="1:69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3"/>
      <c r="L83" s="53"/>
      <c r="M83" s="53"/>
      <c r="N83" s="53"/>
      <c r="O83" s="51"/>
      <c r="P83" s="91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2">
        <v>14</v>
      </c>
      <c r="AE83" s="3" t="s">
        <v>96</v>
      </c>
      <c r="AF83" s="7">
        <v>0</v>
      </c>
      <c r="AG83" s="1" t="s">
        <v>47</v>
      </c>
      <c r="AH83" s="7">
        <v>0</v>
      </c>
      <c r="AI83" s="2" t="s">
        <v>99</v>
      </c>
      <c r="AJ83" s="50"/>
      <c r="AK83" s="18">
        <v>46206</v>
      </c>
      <c r="AL83" s="76"/>
      <c r="AM83" s="76"/>
      <c r="AN83" s="76"/>
      <c r="AO83" s="51"/>
      <c r="AP83" s="51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</row>
    <row r="84" spans="1:69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3"/>
      <c r="L84" s="53"/>
      <c r="M84" s="53"/>
      <c r="N84" s="53"/>
      <c r="O84" s="51"/>
      <c r="P84" s="91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2">
        <v>15</v>
      </c>
      <c r="AE84" s="3" t="s">
        <v>90</v>
      </c>
      <c r="AF84" s="7">
        <v>0</v>
      </c>
      <c r="AG84" s="1" t="s">
        <v>47</v>
      </c>
      <c r="AH84" s="7">
        <v>0</v>
      </c>
      <c r="AI84" s="2" t="s">
        <v>100</v>
      </c>
      <c r="AJ84" s="50"/>
      <c r="AK84" s="51"/>
      <c r="AL84" s="76"/>
      <c r="AM84" s="76"/>
      <c r="AN84" s="76"/>
      <c r="AO84" s="51"/>
      <c r="AP84" s="51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</row>
    <row r="85" spans="1:69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3"/>
      <c r="L85" s="53"/>
      <c r="M85" s="53"/>
      <c r="N85" s="53"/>
      <c r="O85" s="51"/>
      <c r="P85" s="91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2">
        <v>16</v>
      </c>
      <c r="AE85" s="5" t="s">
        <v>91</v>
      </c>
      <c r="AF85" s="8">
        <v>0</v>
      </c>
      <c r="AG85" s="6" t="s">
        <v>47</v>
      </c>
      <c r="AH85" s="8">
        <v>0</v>
      </c>
      <c r="AI85" s="68" t="s">
        <v>124</v>
      </c>
      <c r="AJ85" s="50"/>
      <c r="AK85" s="51"/>
      <c r="AL85" s="76" t="str">
        <f>'annex c'!I3</f>
        <v>D3</v>
      </c>
      <c r="AM85" s="76"/>
      <c r="AN85" s="76"/>
      <c r="AO85" s="51"/>
      <c r="AP85" s="51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</row>
    <row r="86" spans="1:69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3"/>
      <c r="L86" s="53"/>
      <c r="M86" s="53"/>
      <c r="N86" s="53"/>
      <c r="O86" s="51"/>
      <c r="P86" s="91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2">
        <v>1</v>
      </c>
      <c r="AE86" s="3" t="s">
        <v>125</v>
      </c>
      <c r="AF86" s="7">
        <v>0</v>
      </c>
      <c r="AG86" s="1" t="s">
        <v>47</v>
      </c>
      <c r="AH86" s="7">
        <v>0</v>
      </c>
      <c r="AI86" s="2" t="s">
        <v>126</v>
      </c>
      <c r="AJ86" s="50"/>
      <c r="AK86" s="18">
        <v>46207</v>
      </c>
      <c r="AL86" s="50"/>
      <c r="AM86" s="50"/>
      <c r="AN86" s="50"/>
      <c r="AO86" s="51"/>
      <c r="AP86" s="51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</row>
    <row r="87" spans="1:69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3"/>
      <c r="L87" s="53"/>
      <c r="M87" s="53"/>
      <c r="N87" s="53"/>
      <c r="O87" s="51"/>
      <c r="P87" s="91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2">
        <v>2</v>
      </c>
      <c r="AE87" s="5" t="s">
        <v>127</v>
      </c>
      <c r="AF87" s="8">
        <v>0</v>
      </c>
      <c r="AG87" s="6" t="s">
        <v>47</v>
      </c>
      <c r="AH87" s="8">
        <v>0</v>
      </c>
      <c r="AI87" s="4" t="s">
        <v>128</v>
      </c>
      <c r="AJ87" s="50"/>
      <c r="AK87" s="51"/>
      <c r="AL87" s="50"/>
      <c r="AM87" s="50"/>
      <c r="AN87" s="50"/>
      <c r="AO87" s="51"/>
      <c r="AP87" s="51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</row>
    <row r="88" spans="1:69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3"/>
      <c r="L88" s="53"/>
      <c r="M88" s="53"/>
      <c r="N88" s="53"/>
      <c r="O88" s="51"/>
      <c r="P88" s="91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2">
        <v>3</v>
      </c>
      <c r="AE88" s="3" t="s">
        <v>129</v>
      </c>
      <c r="AF88" s="7">
        <v>0</v>
      </c>
      <c r="AG88" s="1" t="s">
        <v>47</v>
      </c>
      <c r="AH88" s="7">
        <v>0</v>
      </c>
      <c r="AI88" s="2" t="s">
        <v>130</v>
      </c>
      <c r="AJ88" s="50"/>
      <c r="AK88" s="18">
        <v>46208</v>
      </c>
      <c r="AL88" s="50"/>
      <c r="AM88" s="50"/>
      <c r="AN88" s="50"/>
      <c r="AO88" s="51"/>
      <c r="AP88" s="51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</row>
    <row r="89" spans="1:69" x14ac:dyDescent="0.3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3"/>
      <c r="L89" s="53"/>
      <c r="M89" s="53"/>
      <c r="N89" s="53"/>
      <c r="O89" s="51"/>
      <c r="P89" s="91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2">
        <v>4</v>
      </c>
      <c r="AE89" s="5" t="s">
        <v>131</v>
      </c>
      <c r="AF89" s="8">
        <v>0</v>
      </c>
      <c r="AG89" s="6" t="s">
        <v>47</v>
      </c>
      <c r="AH89" s="8">
        <v>0</v>
      </c>
      <c r="AI89" s="4" t="s">
        <v>132</v>
      </c>
      <c r="AJ89" s="50"/>
      <c r="AK89" s="51"/>
      <c r="AL89" s="50"/>
      <c r="AM89" s="50"/>
      <c r="AN89" s="50"/>
      <c r="AO89" s="51"/>
      <c r="AP89" s="51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</row>
    <row r="90" spans="1:69" x14ac:dyDescent="0.3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3"/>
      <c r="L90" s="53"/>
      <c r="M90" s="53"/>
      <c r="N90" s="53"/>
      <c r="O90" s="51"/>
      <c r="P90" s="91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2">
        <v>5</v>
      </c>
      <c r="AE90" s="3" t="s">
        <v>133</v>
      </c>
      <c r="AF90" s="7">
        <v>0</v>
      </c>
      <c r="AG90" s="1" t="s">
        <v>47</v>
      </c>
      <c r="AH90" s="7">
        <v>0</v>
      </c>
      <c r="AI90" s="2" t="s">
        <v>134</v>
      </c>
      <c r="AJ90" s="50"/>
      <c r="AK90" s="18">
        <v>46209</v>
      </c>
      <c r="AL90" s="50"/>
      <c r="AM90" s="50"/>
      <c r="AN90" s="50"/>
      <c r="AO90" s="51"/>
      <c r="AP90" s="51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</row>
    <row r="91" spans="1:69" x14ac:dyDescent="0.3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3"/>
      <c r="L91" s="53"/>
      <c r="M91" s="53"/>
      <c r="N91" s="53"/>
      <c r="O91" s="51"/>
      <c r="P91" s="91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2">
        <v>6</v>
      </c>
      <c r="AE91" s="5" t="s">
        <v>135</v>
      </c>
      <c r="AF91" s="8">
        <v>0</v>
      </c>
      <c r="AG91" s="6" t="s">
        <v>47</v>
      </c>
      <c r="AH91" s="8">
        <v>0</v>
      </c>
      <c r="AI91" s="4" t="s">
        <v>136</v>
      </c>
      <c r="AJ91" s="50"/>
      <c r="AK91" s="51"/>
      <c r="AL91" s="50"/>
      <c r="AM91" s="50"/>
      <c r="AN91" s="50"/>
      <c r="AO91" s="51"/>
      <c r="AP91" s="51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</row>
    <row r="92" spans="1:69" x14ac:dyDescent="0.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3"/>
      <c r="L92" s="53"/>
      <c r="M92" s="53"/>
      <c r="N92" s="53"/>
      <c r="O92" s="51"/>
      <c r="P92" s="91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2">
        <v>7</v>
      </c>
      <c r="AE92" s="3" t="s">
        <v>137</v>
      </c>
      <c r="AF92" s="7">
        <v>0</v>
      </c>
      <c r="AG92" s="1" t="s">
        <v>47</v>
      </c>
      <c r="AH92" s="7">
        <v>0</v>
      </c>
      <c r="AI92" s="2" t="s">
        <v>138</v>
      </c>
      <c r="AJ92" s="50"/>
      <c r="AK92" s="18">
        <v>46210</v>
      </c>
      <c r="AL92" s="50"/>
      <c r="AM92" s="50"/>
      <c r="AN92" s="50"/>
      <c r="AO92" s="51"/>
      <c r="AP92" s="51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</row>
    <row r="93" spans="1:69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3"/>
      <c r="L93" s="53"/>
      <c r="M93" s="53"/>
      <c r="N93" s="53"/>
      <c r="O93" s="51"/>
      <c r="P93" s="91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2">
        <v>8</v>
      </c>
      <c r="AE93" s="5" t="s">
        <v>139</v>
      </c>
      <c r="AF93" s="8">
        <v>0</v>
      </c>
      <c r="AG93" s="6" t="s">
        <v>47</v>
      </c>
      <c r="AH93" s="8">
        <v>0</v>
      </c>
      <c r="AI93" s="4" t="s">
        <v>140</v>
      </c>
      <c r="AJ93" s="50"/>
      <c r="AK93" s="51"/>
      <c r="AL93" s="50"/>
      <c r="AM93" s="50"/>
      <c r="AN93" s="50"/>
      <c r="AO93" s="51"/>
      <c r="AP93" s="51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</row>
    <row r="94" spans="1:69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3"/>
      <c r="L94" s="53"/>
      <c r="M94" s="53"/>
      <c r="N94" s="53"/>
      <c r="O94" s="51"/>
      <c r="P94" s="91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2">
        <v>1</v>
      </c>
      <c r="AE94" s="89" t="s">
        <v>125</v>
      </c>
      <c r="AF94" s="8">
        <v>0</v>
      </c>
      <c r="AG94" s="6" t="s">
        <v>47</v>
      </c>
      <c r="AH94" s="8">
        <v>0</v>
      </c>
      <c r="AI94" s="90" t="s">
        <v>127</v>
      </c>
      <c r="AJ94" s="50"/>
      <c r="AK94" s="18">
        <v>46212</v>
      </c>
      <c r="AL94" s="50"/>
      <c r="AM94" s="50"/>
      <c r="AN94" s="50"/>
      <c r="AO94" s="51"/>
      <c r="AP94" s="51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</row>
    <row r="95" spans="1:69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3"/>
      <c r="L95" s="53"/>
      <c r="M95" s="53"/>
      <c r="N95" s="53"/>
      <c r="O95" s="51"/>
      <c r="P95" s="91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2">
        <v>2</v>
      </c>
      <c r="AE95" s="89" t="s">
        <v>128</v>
      </c>
      <c r="AF95" s="8">
        <v>0</v>
      </c>
      <c r="AG95" s="6" t="s">
        <v>47</v>
      </c>
      <c r="AH95" s="8">
        <v>0</v>
      </c>
      <c r="AI95" s="90" t="s">
        <v>130</v>
      </c>
      <c r="AJ95" s="50"/>
      <c r="AK95" s="18">
        <v>46213</v>
      </c>
      <c r="AL95" s="50"/>
      <c r="AM95" s="50"/>
      <c r="AN95" s="50"/>
      <c r="AO95" s="51"/>
      <c r="AP95" s="51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</row>
    <row r="96" spans="1:69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3"/>
      <c r="L96" s="53"/>
      <c r="M96" s="53"/>
      <c r="N96" s="53"/>
      <c r="O96" s="51"/>
      <c r="P96" s="91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2">
        <v>3</v>
      </c>
      <c r="AE96" s="3" t="s">
        <v>126</v>
      </c>
      <c r="AF96" s="7">
        <v>0</v>
      </c>
      <c r="AG96" s="1" t="s">
        <v>47</v>
      </c>
      <c r="AH96" s="7">
        <v>0</v>
      </c>
      <c r="AI96" s="2" t="s">
        <v>129</v>
      </c>
      <c r="AJ96" s="50"/>
      <c r="AK96" s="18">
        <v>46214</v>
      </c>
      <c r="AL96" s="50"/>
      <c r="AM96" s="50"/>
      <c r="AN96" s="50"/>
      <c r="AO96" s="51"/>
      <c r="AP96" s="51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</row>
    <row r="97" spans="1:69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3"/>
      <c r="L97" s="53"/>
      <c r="M97" s="53"/>
      <c r="N97" s="53"/>
      <c r="O97" s="51"/>
      <c r="P97" s="91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2">
        <v>4</v>
      </c>
      <c r="AE97" s="5" t="s">
        <v>131</v>
      </c>
      <c r="AF97" s="8">
        <v>0</v>
      </c>
      <c r="AG97" s="6" t="s">
        <v>47</v>
      </c>
      <c r="AH97" s="8">
        <v>0</v>
      </c>
      <c r="AI97" s="4" t="s">
        <v>132</v>
      </c>
      <c r="AJ97" s="50"/>
      <c r="AK97" s="51"/>
      <c r="AL97" s="50"/>
      <c r="AM97" s="50"/>
      <c r="AN97" s="50"/>
      <c r="AO97" s="51"/>
      <c r="AP97" s="51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</row>
    <row r="98" spans="1:69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3"/>
      <c r="L98" s="53"/>
      <c r="M98" s="53"/>
      <c r="N98" s="53"/>
      <c r="O98" s="51"/>
      <c r="P98" s="91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2">
        <v>1</v>
      </c>
      <c r="AE98" s="89" t="s">
        <v>125</v>
      </c>
      <c r="AF98" s="8">
        <v>0</v>
      </c>
      <c r="AG98" s="6" t="s">
        <v>47</v>
      </c>
      <c r="AH98" s="8">
        <v>0</v>
      </c>
      <c r="AI98" s="90" t="s">
        <v>127</v>
      </c>
      <c r="AJ98" s="50"/>
      <c r="AK98" s="18">
        <v>46217</v>
      </c>
      <c r="AL98" s="50"/>
      <c r="AM98" s="50"/>
      <c r="AN98" s="50"/>
      <c r="AO98" s="51"/>
      <c r="AP98" s="51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</row>
    <row r="99" spans="1:69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3"/>
      <c r="L99" s="53"/>
      <c r="M99" s="53"/>
      <c r="N99" s="53"/>
      <c r="O99" s="51"/>
      <c r="P99" s="91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2">
        <v>2</v>
      </c>
      <c r="AE99" s="89" t="s">
        <v>126</v>
      </c>
      <c r="AF99" s="8">
        <v>0</v>
      </c>
      <c r="AG99" s="6" t="s">
        <v>47</v>
      </c>
      <c r="AH99" s="8">
        <v>0</v>
      </c>
      <c r="AI99" s="90" t="s">
        <v>129</v>
      </c>
      <c r="AJ99" s="50"/>
      <c r="AK99" s="18">
        <v>46218</v>
      </c>
      <c r="AL99" s="50"/>
      <c r="AM99" s="50"/>
      <c r="AN99" s="50"/>
      <c r="AO99" s="51"/>
      <c r="AP99" s="51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</row>
    <row r="100" spans="1:69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E100" s="89" t="s">
        <v>92</v>
      </c>
      <c r="AF100" s="8">
        <v>0</v>
      </c>
      <c r="AG100" s="6" t="s">
        <v>47</v>
      </c>
      <c r="AH100" s="8">
        <v>0</v>
      </c>
      <c r="AI100" s="90" t="s">
        <v>104</v>
      </c>
      <c r="AJ100" s="50"/>
      <c r="AK100" s="18">
        <v>46221</v>
      </c>
      <c r="AL100" s="50"/>
      <c r="AM100" s="50"/>
      <c r="AN100" s="50"/>
      <c r="AO100" s="51"/>
      <c r="AP100" s="51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</row>
    <row r="101" spans="1:69" x14ac:dyDescent="0.3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E101" s="89" t="s">
        <v>125</v>
      </c>
      <c r="AF101" s="8">
        <v>0</v>
      </c>
      <c r="AG101" s="6" t="s">
        <v>47</v>
      </c>
      <c r="AH101" s="8">
        <v>0</v>
      </c>
      <c r="AI101" s="90" t="s">
        <v>127</v>
      </c>
      <c r="AJ101" s="50"/>
      <c r="AK101" s="18">
        <v>46222</v>
      </c>
      <c r="AL101" s="50"/>
      <c r="AM101" s="50"/>
      <c r="AN101" s="50"/>
      <c r="AO101" s="51"/>
      <c r="AP101" s="51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</row>
    <row r="102" spans="1:69" x14ac:dyDescent="0.3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1"/>
      <c r="AP102" s="51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</row>
    <row r="103" spans="1:69" x14ac:dyDescent="0.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1"/>
      <c r="AP103" s="51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</row>
    <row r="104" spans="1:69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1"/>
      <c r="AP104" s="51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</row>
    <row r="105" spans="1:69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1"/>
      <c r="AP105" s="51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</row>
    <row r="106" spans="1:69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1"/>
      <c r="AP106" s="51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</row>
    <row r="107" spans="1:69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1"/>
      <c r="AP107" s="51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</row>
    <row r="108" spans="1:69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1"/>
      <c r="AP108" s="51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</row>
    <row r="109" spans="1:69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1"/>
      <c r="AP109" s="51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</row>
    <row r="110" spans="1:69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1"/>
      <c r="AP110" s="51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</row>
    <row r="111" spans="1:69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1"/>
      <c r="AP111" s="51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</row>
    <row r="112" spans="1:69" x14ac:dyDescent="0.3">
      <c r="A112" s="50"/>
      <c r="B112" s="50"/>
    </row>
  </sheetData>
  <mergeCells count="51">
    <mergeCell ref="AE1:AI1"/>
    <mergeCell ref="I31:M31"/>
    <mergeCell ref="I32:M32"/>
    <mergeCell ref="I33:M33"/>
    <mergeCell ref="I17:M17"/>
    <mergeCell ref="I18:M18"/>
    <mergeCell ref="I19:M19"/>
    <mergeCell ref="I20:M20"/>
    <mergeCell ref="I21:M21"/>
    <mergeCell ref="I22:M22"/>
    <mergeCell ref="I23:M23"/>
    <mergeCell ref="I24:M24"/>
    <mergeCell ref="I25:M25"/>
    <mergeCell ref="I26:M26"/>
    <mergeCell ref="I27:M27"/>
    <mergeCell ref="I28:M28"/>
    <mergeCell ref="I39:M39"/>
    <mergeCell ref="I40:M40"/>
    <mergeCell ref="I41:M41"/>
    <mergeCell ref="I42:M42"/>
    <mergeCell ref="I43:M43"/>
    <mergeCell ref="AT19:AU19"/>
    <mergeCell ref="AT22:AU22"/>
    <mergeCell ref="I54:M54"/>
    <mergeCell ref="I55:M55"/>
    <mergeCell ref="I29:M29"/>
    <mergeCell ref="I44:M44"/>
    <mergeCell ref="I45:M45"/>
    <mergeCell ref="I46:M46"/>
    <mergeCell ref="I34:M34"/>
    <mergeCell ref="I35:M35"/>
    <mergeCell ref="I36:M36"/>
    <mergeCell ref="I37:M37"/>
    <mergeCell ref="I38:M38"/>
    <mergeCell ref="I30:M30"/>
    <mergeCell ref="I47:M47"/>
    <mergeCell ref="I48:M48"/>
    <mergeCell ref="I49:M49"/>
    <mergeCell ref="I50:M50"/>
    <mergeCell ref="I51:M51"/>
    <mergeCell ref="I52:M52"/>
    <mergeCell ref="I53:M53"/>
    <mergeCell ref="I61:M61"/>
    <mergeCell ref="I62:M62"/>
    <mergeCell ref="I63:M63"/>
    <mergeCell ref="I64:M64"/>
    <mergeCell ref="I56:M56"/>
    <mergeCell ref="I57:M57"/>
    <mergeCell ref="I58:M58"/>
    <mergeCell ref="I59:M59"/>
    <mergeCell ref="I60:M6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E07E-0376-431D-962D-4BBA56799095}">
  <dimension ref="A1:AA158"/>
  <sheetViews>
    <sheetView topLeftCell="A25" zoomScale="224" workbookViewId="0">
      <selection activeCell="B10" sqref="B10"/>
    </sheetView>
  </sheetViews>
  <sheetFormatPr defaultRowHeight="14.4" x14ac:dyDescent="0.3"/>
  <cols>
    <col min="1" max="1" width="3.77734375" style="70" bestFit="1" customWidth="1"/>
    <col min="2" max="2" width="13.33203125" style="71" customWidth="1"/>
    <col min="3" max="3" width="3.33203125" style="70" bestFit="1" customWidth="1"/>
    <col min="4" max="4" width="2.6640625" style="70" bestFit="1" customWidth="1"/>
    <col min="5" max="5" width="2.33203125" style="70" bestFit="1" customWidth="1"/>
    <col min="6" max="8" width="1.6640625" customWidth="1"/>
    <col min="9" max="9" width="2.6640625" style="7" bestFit="1" customWidth="1"/>
    <col min="10" max="10" width="11.109375" style="74" bestFit="1" customWidth="1"/>
    <col min="11" max="11" width="4.44140625" bestFit="1" customWidth="1"/>
    <col min="12" max="12" width="3.33203125" bestFit="1" customWidth="1"/>
    <col min="13" max="13" width="2.6640625" bestFit="1" customWidth="1"/>
    <col min="14" max="14" width="2.33203125" bestFit="1" customWidth="1"/>
  </cols>
  <sheetData>
    <row r="1" spans="1:27" x14ac:dyDescent="0.3">
      <c r="A1" s="187" t="s">
        <v>208</v>
      </c>
      <c r="B1" s="187"/>
      <c r="C1" s="187"/>
      <c r="D1" s="187"/>
      <c r="E1" s="187"/>
      <c r="F1" s="9"/>
      <c r="G1" s="9"/>
      <c r="H1" s="9"/>
      <c r="I1" s="187" t="s">
        <v>209</v>
      </c>
      <c r="J1" s="187"/>
      <c r="K1" s="187"/>
      <c r="L1" s="187"/>
      <c r="M1" s="187"/>
      <c r="N1" s="187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x14ac:dyDescent="0.3">
      <c r="A2" s="126" t="s">
        <v>157</v>
      </c>
      <c r="B2" s="126" t="s">
        <v>155</v>
      </c>
      <c r="C2" s="126" t="s">
        <v>156</v>
      </c>
      <c r="D2" s="126" t="s">
        <v>51</v>
      </c>
      <c r="E2" s="126" t="s">
        <v>210</v>
      </c>
      <c r="F2" s="9"/>
      <c r="G2" s="9"/>
      <c r="H2" s="9"/>
      <c r="I2" s="126" t="s">
        <v>52</v>
      </c>
      <c r="J2" s="126" t="s">
        <v>155</v>
      </c>
      <c r="K2" s="126" t="s">
        <v>158</v>
      </c>
      <c r="L2" s="126" t="s">
        <v>156</v>
      </c>
      <c r="M2" s="126" t="s">
        <v>51</v>
      </c>
      <c r="N2" s="126" t="s">
        <v>210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5" thickBot="1" x14ac:dyDescent="0.35">
      <c r="A3" s="115" t="s">
        <v>145</v>
      </c>
      <c r="B3" s="114" t="s">
        <v>0</v>
      </c>
      <c r="C3" s="115">
        <f>VLOOKUP(B3,fmwc!B:H,6,FALSE)</f>
        <v>6</v>
      </c>
      <c r="D3" s="115">
        <f>VLOOKUP(B3,fmwc!B:H,7,FALSE)</f>
        <v>3</v>
      </c>
      <c r="E3" s="116">
        <f>VLOOKUP(B3,fmwc!B:H,2,FALSE)</f>
        <v>14</v>
      </c>
      <c r="F3" s="9"/>
      <c r="G3" s="9"/>
      <c r="H3" s="9"/>
      <c r="I3" s="115">
        <v>1</v>
      </c>
      <c r="J3" s="115" t="str" cm="1">
        <f t="array" ref="J3">INDEX(_xlfn.SORTBY($B$3:$B$50, $C$3:$C$50, -1, $D$3:$D$50, -1), I3)</f>
        <v>GERMANY</v>
      </c>
      <c r="K3" s="115" t="str" cm="1">
        <f t="array" ref="K3">_xlfn.LET(
  _xlpm.grpRange, $A$3:$A$50,
  _xlpm.countryRange, $B$3:$B$50,
  _xlpm.ptsRange, $C$3:$C$50,
  _xlpm.diffRange, $D$3:$D$50,
  _xlpm.rkRange, $E$3:$E$50,
  _xlpm.thisCountry, J3,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E1</v>
      </c>
      <c r="L3" s="115">
        <f t="shared" ref="L3:L50" si="0">VLOOKUP(J3,B:E,2,FALSE)</f>
        <v>6</v>
      </c>
      <c r="M3" s="115">
        <f t="shared" ref="M3:M50" si="1">VLOOKUP(J3,B:E,3,FALSE)</f>
        <v>7</v>
      </c>
      <c r="N3" s="116">
        <f t="shared" ref="N3:N50" si="2">VLOOKUP(J3,B:E,4,FALSE)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 thickBot="1" x14ac:dyDescent="0.35">
      <c r="A4" s="115" t="s">
        <v>145</v>
      </c>
      <c r="B4" s="117" t="s">
        <v>48</v>
      </c>
      <c r="C4" s="118">
        <f>VLOOKUP(B4,fmwc!B:H,6,FALSE)</f>
        <v>3</v>
      </c>
      <c r="D4" s="118">
        <f>VLOOKUP(B4,fmwc!B:H,7,FALSE)</f>
        <v>0</v>
      </c>
      <c r="E4" s="119">
        <f>VLOOKUP(B4,fmwc!B:H,2,FALSE)</f>
        <v>25</v>
      </c>
      <c r="F4" s="9"/>
      <c r="G4" s="9"/>
      <c r="H4" s="9"/>
      <c r="I4" s="115">
        <v>2</v>
      </c>
      <c r="J4" s="115" t="str" cm="1">
        <f t="array" ref="J4">INDEX(_xlfn.SORTBY($B$3:$B$50, $C$3:$C$50, -1, $D$3:$D$50, -1), I4)</f>
        <v>USA</v>
      </c>
      <c r="K4" s="115" t="str" cm="1">
        <f t="array" ref="K4">_xlfn.LET(
  _xlpm.grpRange, $A$3:$A$50,
  _xlpm.countryRange, $B$3:$B$50,
  _xlpm.ptsRange, $C$3:$C$50,
  _xlpm.diffRange, $D$3:$D$50,
  _xlpm.rkRange, $E$3:$E$50,
  _xlpm.thisCountry, J4,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D1</v>
      </c>
      <c r="L4" s="115">
        <f t="shared" si="0"/>
        <v>6</v>
      </c>
      <c r="M4" s="115">
        <f t="shared" si="1"/>
        <v>5</v>
      </c>
      <c r="N4" s="116">
        <f t="shared" si="2"/>
        <v>17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5" thickBot="1" x14ac:dyDescent="0.35">
      <c r="A5" s="115" t="s">
        <v>145</v>
      </c>
      <c r="B5" s="120" t="s">
        <v>2</v>
      </c>
      <c r="C5" s="118">
        <f>VLOOKUP(B5,fmwc!B:H,6,FALSE)</f>
        <v>1</v>
      </c>
      <c r="D5" s="118">
        <f>VLOOKUP(B5,fmwc!B:H,7,FALSE)</f>
        <v>-1</v>
      </c>
      <c r="E5" s="119">
        <f>VLOOKUP(B5,fmwc!B:H,2,FALSE)</f>
        <v>39</v>
      </c>
      <c r="F5" s="9"/>
      <c r="G5" s="9"/>
      <c r="H5" s="9"/>
      <c r="I5" s="115">
        <v>3</v>
      </c>
      <c r="J5" s="115" t="str" cm="1">
        <f t="array" ref="J5">INDEX(_xlfn.SORTBY($B$3:$B$50, $C$3:$C$50, -1, $D$3:$D$50, -1), I5)</f>
        <v>FRANCE</v>
      </c>
      <c r="K5" s="115" t="str" cm="1">
        <f t="array" ref="K5">_xlfn.LET(
  _xlpm.grpRange, $A$3:$A$50,
  _xlpm.countryRange, $B$3:$B$50,
  _xlpm.ptsRange, $C$3:$C$50,
  _xlpm.diffRange, $D$3:$D$50,
  _xlpm.rkRange, $E$3:$E$50,
  _xlpm.thisCountry, J5,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I1</v>
      </c>
      <c r="L5" s="115">
        <f t="shared" si="0"/>
        <v>6</v>
      </c>
      <c r="M5" s="115">
        <f t="shared" si="1"/>
        <v>5</v>
      </c>
      <c r="N5" s="116">
        <f t="shared" si="2"/>
        <v>3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" thickBot="1" x14ac:dyDescent="0.35">
      <c r="A6" s="115" t="s">
        <v>145</v>
      </c>
      <c r="B6" s="146" t="s">
        <v>1</v>
      </c>
      <c r="C6" s="118">
        <f>VLOOKUP(B6,fmwc!B:H,6,FALSE)</f>
        <v>1</v>
      </c>
      <c r="D6" s="118">
        <f>VLOOKUP(B6,fmwc!B:H,7,FALSE)</f>
        <v>-2</v>
      </c>
      <c r="E6" s="119">
        <f>VLOOKUP(B6,fmwc!B:H,2,FALSE)</f>
        <v>60</v>
      </c>
      <c r="F6" s="9"/>
      <c r="G6" s="9"/>
      <c r="H6" s="9"/>
      <c r="I6" s="115">
        <v>4</v>
      </c>
      <c r="J6" s="115" t="str" cm="1">
        <f t="array" ref="J6">INDEX(_xlfn.SORTBY($B$3:$B$50, $C$3:$C$50, -1, $D$3:$D$50, -1), I6)</f>
        <v>ARGENTINA</v>
      </c>
      <c r="K6" s="115" t="str" cm="1">
        <f t="array" ref="K6">_xlfn.LET(
  _xlpm.grpRange, $A$3:$A$50,
  _xlpm.countryRange, $B$3:$B$50,
  _xlpm.ptsRange, $C$3:$C$50,
  _xlpm.diffRange, $D$3:$D$50,
  _xlpm.rkRange, $E$3:$E$50,
  _xlpm.thisCountry, J6,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J1</v>
      </c>
      <c r="L6" s="115">
        <f t="shared" si="0"/>
        <v>6</v>
      </c>
      <c r="M6" s="115">
        <f t="shared" si="1"/>
        <v>5</v>
      </c>
      <c r="N6" s="116">
        <f t="shared" si="2"/>
        <v>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" thickBot="1" x14ac:dyDescent="0.35">
      <c r="A7" s="115" t="s">
        <v>146</v>
      </c>
      <c r="B7" s="121" t="s">
        <v>3</v>
      </c>
      <c r="C7" s="118">
        <f>VLOOKUP(B7,fmwc!I:O,6,FALSE)</f>
        <v>4</v>
      </c>
      <c r="D7" s="118">
        <f>VLOOKUP(B7,fmwc!I:O,7,FALSE)</f>
        <v>6</v>
      </c>
      <c r="E7" s="119">
        <f>VLOOKUP(B7,fmwc!I:O,2,FALSE)</f>
        <v>30</v>
      </c>
      <c r="F7" s="9"/>
      <c r="G7" s="9"/>
      <c r="H7" s="9"/>
      <c r="I7" s="115">
        <v>5</v>
      </c>
      <c r="J7" s="115" t="str" cm="1">
        <f t="array" ref="J7">INDEX(_xlfn.SORTBY($B$3:$B$50, $C$3:$C$50, -1, $D$3:$D$50, -1), I7)</f>
        <v>NORWAY</v>
      </c>
      <c r="K7" s="115" t="str" cm="1">
        <f t="array" ref="K7">_xlfn.LET(
  _xlpm.grpRange, $A$3:$A$50,
  _xlpm.countryRange, $B$3:$B$50,
  _xlpm.ptsRange, $C$3:$C$50,
  _xlpm.diffRange, $D$3:$D$50,
  _xlpm.rkRange, $E$3:$E$50,
  _xlpm.thisCountry, J7,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I2</v>
      </c>
      <c r="L7" s="115">
        <f t="shared" si="0"/>
        <v>6</v>
      </c>
      <c r="M7" s="115">
        <f t="shared" si="1"/>
        <v>4</v>
      </c>
      <c r="N7" s="116">
        <f t="shared" si="2"/>
        <v>31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" thickBot="1" x14ac:dyDescent="0.35">
      <c r="A8" s="115" t="s">
        <v>146</v>
      </c>
      <c r="B8" s="122" t="s">
        <v>6</v>
      </c>
      <c r="C8" s="118">
        <f>VLOOKUP(B8,fmwc!I:O,6,FALSE)</f>
        <v>4</v>
      </c>
      <c r="D8" s="118">
        <f>VLOOKUP(B8,fmwc!I:O,7,FALSE)</f>
        <v>3</v>
      </c>
      <c r="E8" s="119">
        <f>VLOOKUP(B8,fmwc!I:O,2,FALSE)</f>
        <v>19</v>
      </c>
      <c r="F8" s="9"/>
      <c r="G8" s="9"/>
      <c r="H8" s="9"/>
      <c r="I8" s="115">
        <v>6</v>
      </c>
      <c r="J8" s="115" t="str" cm="1">
        <f t="array" ref="J8">INDEX(_xlfn.SORTBY($B$3:$B$50, $C$3:$C$50, -1, $D$3:$D$50, -1), I8)</f>
        <v>MEXICO</v>
      </c>
      <c r="K8" s="115" t="str" cm="1">
        <f t="array" ref="K8">_xlfn.LET(
  _xlpm.grpRange, $A$3:$A$50,
  _xlpm.countryRange, $B$3:$B$50,
  _xlpm.ptsRange, $C$3:$C$50,
  _xlpm.diffRange, $D$3:$D$50,
  _xlpm.rkRange, $E$3:$E$50,
  _xlpm.thisCountry, J8,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A1</v>
      </c>
      <c r="L8" s="115">
        <f t="shared" si="0"/>
        <v>6</v>
      </c>
      <c r="M8" s="115">
        <f t="shared" si="1"/>
        <v>3</v>
      </c>
      <c r="N8" s="116">
        <f t="shared" si="2"/>
        <v>14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" thickBot="1" x14ac:dyDescent="0.35">
      <c r="A9" s="115" t="s">
        <v>146</v>
      </c>
      <c r="B9" s="123" t="s">
        <v>4</v>
      </c>
      <c r="C9" s="118">
        <f>VLOOKUP(B9,fmwc!I:O,6,FALSE)</f>
        <v>1</v>
      </c>
      <c r="D9" s="118">
        <f>VLOOKUP(B9,fmwc!I:O,7,FALSE)</f>
        <v>-3</v>
      </c>
      <c r="E9" s="119">
        <f>VLOOKUP(B9,fmwc!I:O,2,FALSE)</f>
        <v>64</v>
      </c>
      <c r="F9" s="9"/>
      <c r="G9" s="9"/>
      <c r="H9" s="9"/>
      <c r="I9" s="115">
        <v>7</v>
      </c>
      <c r="J9" s="115" t="str" cm="1">
        <f t="array" ref="J9">INDEX(_xlfn.SORTBY($B$3:$B$50, $C$3:$C$50, -1, $D$3:$D$50, -1), I9)</f>
        <v>CANADA</v>
      </c>
      <c r="K9" s="115" t="str" cm="1">
        <f t="array" ref="K9">_xlfn.LET(
  _xlpm.grpRange, $A$3:$A$50,
  _xlpm.countryRange, $B$3:$B$50,
  _xlpm.ptsRange, $C$3:$C$50,
  _xlpm.diffRange, $D$3:$D$50,
  _xlpm.rkRange, $E$3:$E$50,
  _xlpm.thisCountry, J9,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B1</v>
      </c>
      <c r="L9" s="115">
        <f t="shared" si="0"/>
        <v>4</v>
      </c>
      <c r="M9" s="115">
        <f t="shared" si="1"/>
        <v>6</v>
      </c>
      <c r="N9" s="116">
        <f t="shared" si="2"/>
        <v>30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" thickBot="1" x14ac:dyDescent="0.35">
      <c r="A10" s="115" t="s">
        <v>146</v>
      </c>
      <c r="B10" s="124" t="s">
        <v>5</v>
      </c>
      <c r="C10" s="118">
        <f>VLOOKUP(B10,fmwc!I:O,6,FALSE)</f>
        <v>1</v>
      </c>
      <c r="D10" s="118">
        <f>VLOOKUP(B10,fmwc!I:O,7,FALSE)</f>
        <v>-6</v>
      </c>
      <c r="E10" s="119">
        <f>VLOOKUP(B10,fmwc!I:O,2,FALSE)</f>
        <v>57</v>
      </c>
      <c r="F10" s="9"/>
      <c r="G10" s="9"/>
      <c r="H10" s="9"/>
      <c r="I10" s="115">
        <v>8</v>
      </c>
      <c r="J10" s="115" t="str" cm="1">
        <f t="array" ref="J10">INDEX(_xlfn.SORTBY($B$3:$B$50, $C$3:$C$50, -1, $D$3:$D$50, -1), I10)</f>
        <v>PORTUGAL</v>
      </c>
      <c r="K10" s="115" t="str" cm="1">
        <f t="array" ref="K10">_xlfn.LET(
  _xlpm.grpRange, $A$3:$A$50,
  _xlpm.countryRange, $B$3:$B$50,
  _xlpm.ptsRange, $C$3:$C$50,
  _xlpm.diffRange, $D$3:$D$50,
  _xlpm.rkRange, $E$3:$E$50,
  _xlpm.thisCountry, J10,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K1</v>
      </c>
      <c r="L10" s="115">
        <f t="shared" si="0"/>
        <v>4</v>
      </c>
      <c r="M10" s="115">
        <f t="shared" si="1"/>
        <v>5</v>
      </c>
      <c r="N10" s="116">
        <f t="shared" si="2"/>
        <v>5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" thickBot="1" x14ac:dyDescent="0.35">
      <c r="A11" s="115" t="s">
        <v>147</v>
      </c>
      <c r="B11" s="125" t="s">
        <v>7</v>
      </c>
      <c r="C11" s="118">
        <f>VLOOKUP(B11,fmwc!P:V,6,FALSE)</f>
        <v>4</v>
      </c>
      <c r="D11" s="118">
        <f>VLOOKUP(B11,fmwc!P:V,7,FALSE)</f>
        <v>3</v>
      </c>
      <c r="E11" s="119">
        <f>VLOOKUP(B11,fmwc!P:V,2,FALSE)</f>
        <v>6</v>
      </c>
      <c r="F11" s="9"/>
      <c r="G11" s="9"/>
      <c r="H11" s="9"/>
      <c r="I11" s="115">
        <v>9</v>
      </c>
      <c r="J11" s="115" t="str" cm="1">
        <f t="array" ref="J11">INDEX(_xlfn.SORTBY($B$3:$B$50, $C$3:$C$50, -1, $D$3:$D$50, -1), I11)</f>
        <v>NEDERLANDS</v>
      </c>
      <c r="K11" s="115" t="str" cm="1">
        <f t="array" ref="K11">_xlfn.LET(
  _xlpm.grpRange, $A$3:$A$50,
  _xlpm.countryRange, $B$3:$B$50,
  _xlpm.ptsRange, $C$3:$C$50,
  _xlpm.diffRange, $D$3:$D$50,
  _xlpm.rkRange, $E$3:$E$50,
  _xlpm.thisCountry, J11,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F1</v>
      </c>
      <c r="L11" s="115">
        <f t="shared" si="0"/>
        <v>4</v>
      </c>
      <c r="M11" s="115">
        <f t="shared" si="1"/>
        <v>4</v>
      </c>
      <c r="N11" s="116">
        <f t="shared" si="2"/>
        <v>8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" thickBot="1" x14ac:dyDescent="0.35">
      <c r="A12" s="118" t="s">
        <v>147</v>
      </c>
      <c r="B12" s="127" t="s">
        <v>8</v>
      </c>
      <c r="C12" s="118">
        <f>VLOOKUP(B12,fmwc!P:V,6,FALSE)</f>
        <v>4</v>
      </c>
      <c r="D12" s="118">
        <f>VLOOKUP(B12,fmwc!P:V,7,FALSE)</f>
        <v>1</v>
      </c>
      <c r="E12" s="119">
        <f>VLOOKUP(B12,fmwc!P:V,2,FALSE)</f>
        <v>7</v>
      </c>
      <c r="F12" s="9"/>
      <c r="G12" s="9"/>
      <c r="H12" s="9"/>
      <c r="I12" s="115">
        <v>10</v>
      </c>
      <c r="J12" s="115" t="str" cm="1">
        <f t="array" ref="J12">INDEX(_xlfn.SORTBY($B$3:$B$50, $C$3:$C$50, -1, $D$3:$D$50, -1), I12)</f>
        <v>JAPAN</v>
      </c>
      <c r="K12" s="115" t="str" cm="1">
        <f t="array" ref="K12">_xlfn.LET(
  _xlpm.grpRange, $A$3:$A$50,
  _xlpm.countryRange, $B$3:$B$50,
  _xlpm.ptsRange, $C$3:$C$50,
  _xlpm.diffRange, $D$3:$D$50,
  _xlpm.rkRange, $E$3:$E$50,
  _xlpm.thisCountry, J12,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F2</v>
      </c>
      <c r="L12" s="115">
        <f t="shared" si="0"/>
        <v>4</v>
      </c>
      <c r="M12" s="115">
        <f t="shared" si="1"/>
        <v>4</v>
      </c>
      <c r="N12" s="116">
        <f t="shared" si="2"/>
        <v>18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" thickBot="1" x14ac:dyDescent="0.35">
      <c r="A13" s="118" t="s">
        <v>147</v>
      </c>
      <c r="B13" s="128" t="s">
        <v>10</v>
      </c>
      <c r="C13" s="118">
        <f>VLOOKUP(B13,fmwc!P:V,6,FALSE)</f>
        <v>3</v>
      </c>
      <c r="D13" s="118">
        <f>VLOOKUP(B13,fmwc!P:V,7,FALSE)</f>
        <v>0</v>
      </c>
      <c r="E13" s="119">
        <f>VLOOKUP(B13,fmwc!P:V,2,FALSE)</f>
        <v>42</v>
      </c>
      <c r="F13" s="9"/>
      <c r="G13" s="9"/>
      <c r="H13" s="9"/>
      <c r="I13" s="115">
        <v>11</v>
      </c>
      <c r="J13" s="115" t="str" cm="1">
        <f t="array" ref="J13">INDEX(_xlfn.SORTBY($B$3:$B$50, $C$3:$C$50, -1, $D$3:$D$50, -1), I13)</f>
        <v>SPAIN</v>
      </c>
      <c r="K13" s="115" t="str" cm="1">
        <f t="array" ref="K13">_xlfn.LET(
  _xlpm.grpRange, $A$3:$A$50,
  _xlpm.countryRange, $B$3:$B$50,
  _xlpm.ptsRange, $C$3:$C$50,
  _xlpm.diffRange, $D$3:$D$50,
  _xlpm.rkRange, $E$3:$E$50,
  _xlpm.thisCountry, J13,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H1</v>
      </c>
      <c r="L13" s="115">
        <f t="shared" si="0"/>
        <v>4</v>
      </c>
      <c r="M13" s="115">
        <f t="shared" si="1"/>
        <v>4</v>
      </c>
      <c r="N13" s="116">
        <f t="shared" si="2"/>
        <v>2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" thickBot="1" x14ac:dyDescent="0.35">
      <c r="A14" s="118" t="s">
        <v>147</v>
      </c>
      <c r="B14" s="129" t="s">
        <v>9</v>
      </c>
      <c r="C14" s="118">
        <f>VLOOKUP(B14,fmwc!P:V,6,FALSE)</f>
        <v>0</v>
      </c>
      <c r="D14" s="118">
        <f>VLOOKUP(B14,fmwc!P:V,7,FALSE)</f>
        <v>-4</v>
      </c>
      <c r="E14" s="119">
        <f>VLOOKUP(B14,fmwc!P:V,2,FALSE)</f>
        <v>83</v>
      </c>
      <c r="F14" s="9"/>
      <c r="G14" s="9"/>
      <c r="H14" s="9"/>
      <c r="I14" s="115">
        <v>12</v>
      </c>
      <c r="J14" s="115" t="str" cm="1">
        <f t="array" ref="J14">INDEX(_xlfn.SORTBY($B$3:$B$50, $C$3:$C$50, -1, $D$3:$D$50, -1), I14)</f>
        <v>SWITZERLAND</v>
      </c>
      <c r="K14" s="115" t="str" cm="1">
        <f t="array" ref="K14">_xlfn.LET(
  _xlpm.grpRange, $A$3:$A$50,
  _xlpm.countryRange, $B$3:$B$50,
  _xlpm.ptsRange, $C$3:$C$50,
  _xlpm.diffRange, $D$3:$D$50,
  _xlpm.rkRange, $E$3:$E$50,
  _xlpm.thisCountry, J14,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B2</v>
      </c>
      <c r="L14" s="115">
        <f t="shared" si="0"/>
        <v>4</v>
      </c>
      <c r="M14" s="115">
        <f t="shared" si="1"/>
        <v>3</v>
      </c>
      <c r="N14" s="116">
        <f t="shared" si="2"/>
        <v>19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" thickBot="1" x14ac:dyDescent="0.35">
      <c r="A15" s="118" t="s">
        <v>66</v>
      </c>
      <c r="B15" s="130" t="s">
        <v>11</v>
      </c>
      <c r="C15" s="118">
        <f>VLOOKUP(B15,fmwc!W:AC,6,FALSE)</f>
        <v>6</v>
      </c>
      <c r="D15" s="118">
        <f>VLOOKUP(B15,fmwc!W:AC,7,FALSE)</f>
        <v>5</v>
      </c>
      <c r="E15" s="119">
        <f>VLOOKUP(B15,fmwc!W:AC,2,FALSE)</f>
        <v>17</v>
      </c>
      <c r="F15" s="9"/>
      <c r="G15" s="9"/>
      <c r="H15" s="9"/>
      <c r="I15" s="115">
        <v>13</v>
      </c>
      <c r="J15" s="115" t="str" cm="1">
        <f t="array" ref="J15">INDEX(_xlfn.SORTBY($B$3:$B$50, $C$3:$C$50, -1, $D$3:$D$50, -1), I15)</f>
        <v>BRAZIL</v>
      </c>
      <c r="K15" s="115" t="str" cm="1">
        <f t="array" ref="K15">_xlfn.LET(
  _xlpm.grpRange, $A$3:$A$50,
  _xlpm.countryRange, $B$3:$B$50,
  _xlpm.ptsRange, $C$3:$C$50,
  _xlpm.diffRange, $D$3:$D$50,
  _xlpm.rkRange, $E$3:$E$50,
  _xlpm.thisCountry, J15,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C1</v>
      </c>
      <c r="L15" s="115">
        <f t="shared" si="0"/>
        <v>4</v>
      </c>
      <c r="M15" s="115">
        <f t="shared" si="1"/>
        <v>3</v>
      </c>
      <c r="N15" s="116">
        <f t="shared" si="2"/>
        <v>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" thickBot="1" x14ac:dyDescent="0.35">
      <c r="A16" s="118" t="s">
        <v>66</v>
      </c>
      <c r="B16" s="132" t="s">
        <v>13</v>
      </c>
      <c r="C16" s="118">
        <f>VLOOKUP(B16,fmwc!W:AC,6,FALSE)</f>
        <v>3</v>
      </c>
      <c r="D16" s="118">
        <f>VLOOKUP(B16,fmwc!W:AC,7,FALSE)</f>
        <v>0</v>
      </c>
      <c r="E16" s="119">
        <f>VLOOKUP(B16,fmwc!W:AC,2,FALSE)</f>
        <v>27</v>
      </c>
      <c r="F16" s="9"/>
      <c r="G16" s="9"/>
      <c r="H16" s="9"/>
      <c r="I16" s="115">
        <v>14</v>
      </c>
      <c r="J16" s="115" t="str" cm="1">
        <f t="array" ref="J16">INDEX(_xlfn.SORTBY($B$3:$B$50, $C$3:$C$50, -1, $D$3:$D$50, -1), I16)</f>
        <v>EGYPT</v>
      </c>
      <c r="K16" s="115" t="str" cm="1">
        <f t="array" ref="K16">_xlfn.LET(
  _xlpm.grpRange, $A$3:$A$50,
  _xlpm.countryRange, $B$3:$B$50,
  _xlpm.ptsRange, $C$3:$C$50,
  _xlpm.diffRange, $D$3:$D$50,
  _xlpm.rkRange, $E$3:$E$50,
  _xlpm.thisCountry, J16,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G1</v>
      </c>
      <c r="L16" s="115">
        <f t="shared" si="0"/>
        <v>4</v>
      </c>
      <c r="M16" s="115">
        <f t="shared" si="1"/>
        <v>2</v>
      </c>
      <c r="N16" s="116">
        <f t="shared" si="2"/>
        <v>29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" thickBot="1" x14ac:dyDescent="0.35">
      <c r="A17" s="118" t="s">
        <v>66</v>
      </c>
      <c r="B17" s="133" t="s">
        <v>12</v>
      </c>
      <c r="C17" s="118">
        <f>VLOOKUP(B17,fmwc!W:AC,6,FALSE)</f>
        <v>3</v>
      </c>
      <c r="D17" s="118">
        <f>VLOOKUP(B17,fmwc!W:AC,7,FALSE)</f>
        <v>-2</v>
      </c>
      <c r="E17" s="119">
        <f>VLOOKUP(B17,fmwc!W:AC,2,FALSE)</f>
        <v>40</v>
      </c>
      <c r="F17" s="9"/>
      <c r="G17" s="9"/>
      <c r="H17" s="9"/>
      <c r="I17" s="115">
        <v>15</v>
      </c>
      <c r="J17" s="115" t="str" cm="1">
        <f t="array" ref="J17">INDEX(_xlfn.SORTBY($B$3:$B$50, $C$3:$C$50, -1, $D$3:$D$50, -1), I17)</f>
        <v>ENGLAND</v>
      </c>
      <c r="K17" s="115" t="str" cm="1">
        <f t="array" ref="K17">_xlfn.LET(
  _xlpm.grpRange, $A$3:$A$50,
  _xlpm.countryRange, $B$3:$B$50,
  _xlpm.ptsRange, $C$3:$C$50,
  _xlpm.diffRange, $D$3:$D$50,
  _xlpm.rkRange, $E$3:$E$50,
  _xlpm.thisCountry, J17,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L1</v>
      </c>
      <c r="L17" s="115">
        <f t="shared" si="0"/>
        <v>4</v>
      </c>
      <c r="M17" s="115">
        <f t="shared" si="1"/>
        <v>2</v>
      </c>
      <c r="N17" s="116">
        <f t="shared" si="2"/>
        <v>4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" thickBot="1" x14ac:dyDescent="0.35">
      <c r="A18" s="118" t="s">
        <v>66</v>
      </c>
      <c r="B18" s="134" t="s">
        <v>14</v>
      </c>
      <c r="C18" s="118">
        <f>VLOOKUP(B18,fmwc!W:AC,6,FALSE)</f>
        <v>0</v>
      </c>
      <c r="D18" s="118">
        <f>VLOOKUP(B18,fmwc!W:AC,7,FALSE)</f>
        <v>-3</v>
      </c>
      <c r="E18" s="119">
        <f>VLOOKUP(B18,fmwc!W:AC,2,FALSE)</f>
        <v>22</v>
      </c>
      <c r="F18" s="9"/>
      <c r="G18" s="9"/>
      <c r="H18" s="9"/>
      <c r="I18" s="115">
        <v>16</v>
      </c>
      <c r="J18" s="115" t="str" cm="1">
        <f t="array" ref="J18">INDEX(_xlfn.SORTBY($B$3:$B$50, $C$3:$C$50, -1, $D$3:$D$50, -1), I18)</f>
        <v>MOROCCO</v>
      </c>
      <c r="K18" s="115" t="str" cm="1">
        <f t="array" ref="K18">_xlfn.LET(
  _xlpm.grpRange, $A$3:$A$50,
  _xlpm.countryRange, $B$3:$B$50,
  _xlpm.ptsRange, $C$3:$C$50,
  _xlpm.diffRange, $D$3:$D$50,
  _xlpm.rkRange, $E$3:$E$50,
  _xlpm.thisCountry, J18,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C2</v>
      </c>
      <c r="L18" s="115">
        <f t="shared" si="0"/>
        <v>4</v>
      </c>
      <c r="M18" s="115">
        <f t="shared" si="1"/>
        <v>1</v>
      </c>
      <c r="N18" s="116">
        <f t="shared" si="2"/>
        <v>7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" thickBot="1" x14ac:dyDescent="0.35">
      <c r="A19" s="118" t="s">
        <v>148</v>
      </c>
      <c r="B19" s="136" t="s">
        <v>46</v>
      </c>
      <c r="C19" s="118">
        <f>VLOOKUP(B19,fmwc!B:H,6,FALSE)</f>
        <v>6</v>
      </c>
      <c r="D19" s="118">
        <f>VLOOKUP(B19,fmwc!B:H,7,FALSE)</f>
        <v>7</v>
      </c>
      <c r="E19" s="119">
        <f>VLOOKUP(B19,fmwc!B:H,2,FALSE)</f>
        <v>10</v>
      </c>
      <c r="F19" s="9"/>
      <c r="G19" s="9"/>
      <c r="H19" s="9"/>
      <c r="I19" s="115">
        <v>17</v>
      </c>
      <c r="J19" s="115" t="str" cm="1">
        <f t="array" ref="J19">INDEX(_xlfn.SORTBY($B$3:$B$50, $C$3:$C$50, -1, $D$3:$D$50, -1), I19)</f>
        <v>GHANA</v>
      </c>
      <c r="K19" s="115" t="str" cm="1">
        <f t="array" ref="K19">_xlfn.LET(
  _xlpm.grpRange, $A$3:$A$50,
  _xlpm.countryRange, $B$3:$B$50,
  _xlpm.ptsRange, $C$3:$C$50,
  _xlpm.diffRange, $D$3:$D$50,
  _xlpm.rkRange, $E$3:$E$50,
  _xlpm.thisCountry, J19,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L2</v>
      </c>
      <c r="L19" s="115">
        <f t="shared" si="0"/>
        <v>4</v>
      </c>
      <c r="M19" s="115">
        <f t="shared" si="1"/>
        <v>1</v>
      </c>
      <c r="N19" s="116">
        <f t="shared" si="2"/>
        <v>73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" thickBot="1" x14ac:dyDescent="0.35">
      <c r="A20" s="118" t="s">
        <v>148</v>
      </c>
      <c r="B20" s="137" t="s">
        <v>16</v>
      </c>
      <c r="C20" s="118">
        <f>VLOOKUP(B20,fmwc!B:H,6,FALSE)</f>
        <v>3</v>
      </c>
      <c r="D20" s="118">
        <f>VLOOKUP(B20,fmwc!B:H,7,FALSE)</f>
        <v>0</v>
      </c>
      <c r="E20" s="119">
        <f>VLOOKUP(B20,fmwc!B:H,2,FALSE)</f>
        <v>33</v>
      </c>
      <c r="F20" s="9"/>
      <c r="G20" s="9"/>
      <c r="H20" s="9"/>
      <c r="I20" s="115">
        <v>18</v>
      </c>
      <c r="J20" s="115" t="str" cm="1">
        <f t="array" ref="J20">INDEX(_xlfn.SORTBY($B$3:$B$50, $C$3:$C$50, -1, $D$3:$D$50, -1), I20)</f>
        <v>COLOMBIA</v>
      </c>
      <c r="K20" s="115" t="str" cm="1">
        <f t="array" ref="K20">_xlfn.LET(
  _xlpm.grpRange, $A$3:$A$50,
  _xlpm.countryRange, $B$3:$B$50,
  _xlpm.ptsRange, $C$3:$C$50,
  _xlpm.diffRange, $D$3:$D$50,
  _xlpm.rkRange, $E$3:$E$50,
  _xlpm.thisCountry, J20,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K2</v>
      </c>
      <c r="L20" s="115">
        <f t="shared" si="0"/>
        <v>3</v>
      </c>
      <c r="M20" s="115">
        <f t="shared" si="1"/>
        <v>2</v>
      </c>
      <c r="N20" s="116">
        <f t="shared" si="2"/>
        <v>13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" thickBot="1" x14ac:dyDescent="0.35">
      <c r="A21" s="118" t="s">
        <v>148</v>
      </c>
      <c r="B21" s="138" t="s">
        <v>17</v>
      </c>
      <c r="C21" s="118">
        <f>VLOOKUP(B21,fmwc!B:H,6,FALSE)</f>
        <v>1</v>
      </c>
      <c r="D21" s="118">
        <f>VLOOKUP(B21,fmwc!B:H,7,FALSE)</f>
        <v>-1</v>
      </c>
      <c r="E21" s="119">
        <f>VLOOKUP(B21,fmwc!B:H,2,FALSE)</f>
        <v>23</v>
      </c>
      <c r="F21" s="9"/>
      <c r="G21" s="9"/>
      <c r="H21" s="9"/>
      <c r="I21" s="115">
        <v>19</v>
      </c>
      <c r="J21" s="115" t="str" cm="1">
        <f t="array" ref="J21">INDEX(_xlfn.SORTBY($B$3:$B$50, $C$3:$C$50, -1, $D$3:$D$50, -1), I21)</f>
        <v>SOUTH KOREA</v>
      </c>
      <c r="K21" s="115" t="str" cm="1">
        <f t="array" ref="K21">_xlfn.LET(
  _xlpm.grpRange, $A$3:$A$50,
  _xlpm.countryRange, $B$3:$B$50,
  _xlpm.ptsRange, $C$3:$C$50,
  _xlpm.diffRange, $D$3:$D$50,
  _xlpm.rkRange, $E$3:$E$50,
  _xlpm.thisCountry, J21,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A2</v>
      </c>
      <c r="L21" s="115">
        <f t="shared" si="0"/>
        <v>3</v>
      </c>
      <c r="M21" s="115">
        <f t="shared" si="1"/>
        <v>0</v>
      </c>
      <c r="N21" s="116">
        <f t="shared" si="2"/>
        <v>25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" thickBot="1" x14ac:dyDescent="0.35">
      <c r="A22" s="118" t="s">
        <v>148</v>
      </c>
      <c r="B22" s="139" t="s">
        <v>15</v>
      </c>
      <c r="C22" s="118">
        <f>VLOOKUP(B22,fmwc!B:H,6,FALSE)</f>
        <v>1</v>
      </c>
      <c r="D22" s="118">
        <f>VLOOKUP(B22,fmwc!B:H,7,FALSE)</f>
        <v>-6</v>
      </c>
      <c r="E22" s="119">
        <f>VLOOKUP(B22,fmwc!B:H,2,FALSE)</f>
        <v>82</v>
      </c>
      <c r="F22" s="9"/>
      <c r="G22" s="9"/>
      <c r="H22" s="9"/>
      <c r="I22" s="115">
        <v>20</v>
      </c>
      <c r="J22" s="115" t="str" cm="1">
        <f t="array" ref="J22">INDEX(_xlfn.SORTBY($B$3:$B$50, $C$3:$C$50, -1, $D$3:$D$50, -1), I22)</f>
        <v>SCOTLAND</v>
      </c>
      <c r="K22" s="115" t="str" cm="1">
        <f t="array" ref="K22">_xlfn.LET(
  _xlpm.grpRange, $A$3:$A$50,
  _xlpm.countryRange, $B$3:$B$50,
  _xlpm.ptsRange, $C$3:$C$50,
  _xlpm.diffRange, $D$3:$D$50,
  _xlpm.rkRange, $E$3:$E$50,
  _xlpm.thisCountry, J22,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C3</v>
      </c>
      <c r="L22" s="115">
        <f t="shared" si="0"/>
        <v>3</v>
      </c>
      <c r="M22" s="115">
        <f t="shared" si="1"/>
        <v>0</v>
      </c>
      <c r="N22" s="116">
        <f t="shared" si="2"/>
        <v>42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" thickBot="1" x14ac:dyDescent="0.35">
      <c r="A23" s="118" t="s">
        <v>149</v>
      </c>
      <c r="B23" s="140" t="s">
        <v>18</v>
      </c>
      <c r="C23" s="118">
        <f>VLOOKUP(B23,fmwc!I:O,6,FALSE)</f>
        <v>4</v>
      </c>
      <c r="D23" s="118">
        <f>VLOOKUP(B23,fmwc!I:O,7,FALSE)</f>
        <v>4</v>
      </c>
      <c r="E23" s="119">
        <f>VLOOKUP(B23,fmwc!I:O,2,FALSE)</f>
        <v>8</v>
      </c>
      <c r="F23" s="9"/>
      <c r="G23" s="9"/>
      <c r="H23" s="9"/>
      <c r="I23" s="115">
        <v>21</v>
      </c>
      <c r="J23" s="115" t="str" cm="1">
        <f t="array" ref="J23">INDEX(_xlfn.SORTBY($B$3:$B$50, $C$3:$C$50, -1, $D$3:$D$50, -1), I23)</f>
        <v>AUSTRALIA</v>
      </c>
      <c r="K23" s="115" t="str" cm="1">
        <f t="array" ref="K23">_xlfn.LET(
  _xlpm.grpRange, $A$3:$A$50,
  _xlpm.countryRange, $B$3:$B$50,
  _xlpm.ptsRange, $C$3:$C$50,
  _xlpm.diffRange, $D$3:$D$50,
  _xlpm.rkRange, $E$3:$E$50,
  _xlpm.thisCountry, J23,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D2</v>
      </c>
      <c r="L23" s="115">
        <f t="shared" si="0"/>
        <v>3</v>
      </c>
      <c r="M23" s="115">
        <f t="shared" si="1"/>
        <v>0</v>
      </c>
      <c r="N23" s="116">
        <f t="shared" si="2"/>
        <v>27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" thickBot="1" x14ac:dyDescent="0.35">
      <c r="A24" s="118" t="s">
        <v>149</v>
      </c>
      <c r="B24" s="141" t="s">
        <v>19</v>
      </c>
      <c r="C24" s="118">
        <f>VLOOKUP(B24,fmwc!I:O,6,FALSE)</f>
        <v>4</v>
      </c>
      <c r="D24" s="118">
        <f>VLOOKUP(B24,fmwc!I:O,7,FALSE)</f>
        <v>4</v>
      </c>
      <c r="E24" s="119">
        <f>VLOOKUP(B24,fmwc!I:O,2,FALSE)</f>
        <v>18</v>
      </c>
      <c r="F24" s="9"/>
      <c r="G24" s="9"/>
      <c r="H24" s="9"/>
      <c r="I24" s="115">
        <v>22</v>
      </c>
      <c r="J24" s="115" t="str" cm="1">
        <f t="array" ref="J24">INDEX(_xlfn.SORTBY($B$3:$B$50, $C$3:$C$50, -1, $D$3:$D$50, -1), I24)</f>
        <v>IVORY COAST</v>
      </c>
      <c r="K24" s="115" t="str" cm="1">
        <f t="array" ref="K24">_xlfn.LET(
  _xlpm.grpRange, $A$3:$A$50,
  _xlpm.countryRange, $B$3:$B$50,
  _xlpm.ptsRange, $C$3:$C$50,
  _xlpm.diffRange, $D$3:$D$50,
  _xlpm.rkRange, $E$3:$E$50,
  _xlpm.thisCountry, J24,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E2</v>
      </c>
      <c r="L24" s="115">
        <f t="shared" si="0"/>
        <v>3</v>
      </c>
      <c r="M24" s="115">
        <f t="shared" si="1"/>
        <v>0</v>
      </c>
      <c r="N24" s="116">
        <f t="shared" si="2"/>
        <v>33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" thickBot="1" x14ac:dyDescent="0.35">
      <c r="A25" s="118" t="s">
        <v>149</v>
      </c>
      <c r="B25" s="142" t="s">
        <v>20</v>
      </c>
      <c r="C25" s="118">
        <f>VLOOKUP(B25,fmwc!I:O,6,FALSE)</f>
        <v>3</v>
      </c>
      <c r="D25" s="118">
        <f>VLOOKUP(B25,fmwc!I:O,7,FALSE)</f>
        <v>0</v>
      </c>
      <c r="E25" s="119">
        <f>VLOOKUP(B25,fmwc!I:O,2,FALSE)</f>
        <v>38</v>
      </c>
      <c r="F25" s="9"/>
      <c r="G25" s="9"/>
      <c r="H25" s="9"/>
      <c r="I25" s="115">
        <v>23</v>
      </c>
      <c r="J25" s="115" t="str" cm="1">
        <f t="array" ref="J25">INDEX(_xlfn.SORTBY($B$3:$B$50, $C$3:$C$50, -1, $D$3:$D$50, -1), I25)</f>
        <v>SWEDEN</v>
      </c>
      <c r="K25" s="115" t="str" cm="1">
        <f t="array" ref="K25">_xlfn.LET(
  _xlpm.grpRange, $A$3:$A$50,
  _xlpm.countryRange, $B$3:$B$50,
  _xlpm.ptsRange, $C$3:$C$50,
  _xlpm.diffRange, $D$3:$D$50,
  _xlpm.rkRange, $E$3:$E$50,
  _xlpm.thisCountry, J25,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F3</v>
      </c>
      <c r="L25" s="115">
        <f t="shared" si="0"/>
        <v>3</v>
      </c>
      <c r="M25" s="115">
        <f t="shared" si="1"/>
        <v>0</v>
      </c>
      <c r="N25" s="116">
        <f t="shared" si="2"/>
        <v>38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" thickBot="1" x14ac:dyDescent="0.35">
      <c r="A26" s="118" t="s">
        <v>149</v>
      </c>
      <c r="B26" s="143" t="s">
        <v>21</v>
      </c>
      <c r="C26" s="118">
        <f>VLOOKUP(B26,fmwc!I:O,6,FALSE)</f>
        <v>0</v>
      </c>
      <c r="D26" s="118">
        <f>VLOOKUP(B26,fmwc!I:O,7,FALSE)</f>
        <v>-8</v>
      </c>
      <c r="E26" s="119">
        <f>VLOOKUP(B26,fmwc!I:O,2,FALSE)</f>
        <v>46</v>
      </c>
      <c r="F26" s="9"/>
      <c r="G26" s="9"/>
      <c r="H26" s="9"/>
      <c r="I26" s="115">
        <v>24</v>
      </c>
      <c r="J26" s="115" t="str" cm="1">
        <f t="array" ref="J26">INDEX(_xlfn.SORTBY($B$3:$B$50, $C$3:$C$50, -1, $D$3:$D$50, -1), I26)</f>
        <v>AUSTRIA</v>
      </c>
      <c r="K26" s="115" t="str" cm="1">
        <f t="array" ref="K26">_xlfn.LET(
  _xlpm.grpRange, $A$3:$A$50,
  _xlpm.countryRange, $B$3:$B$50,
  _xlpm.ptsRange, $C$3:$C$50,
  _xlpm.diffRange, $D$3:$D$50,
  _xlpm.rkRange, $E$3:$E$50,
  _xlpm.thisCountry, J26,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J2</v>
      </c>
      <c r="L26" s="115">
        <f t="shared" si="0"/>
        <v>3</v>
      </c>
      <c r="M26" s="115">
        <f t="shared" si="1"/>
        <v>0</v>
      </c>
      <c r="N26" s="116">
        <f t="shared" si="2"/>
        <v>24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" thickBot="1" x14ac:dyDescent="0.35">
      <c r="A27" s="118" t="s">
        <v>150</v>
      </c>
      <c r="B27" s="144" t="s">
        <v>23</v>
      </c>
      <c r="C27" s="118">
        <f>VLOOKUP(B27,fmwc!P:V,6,FALSE)</f>
        <v>4</v>
      </c>
      <c r="D27" s="118">
        <f>VLOOKUP(B27,fmwc!P:V,7,FALSE)</f>
        <v>2</v>
      </c>
      <c r="E27" s="119">
        <f>VLOOKUP(B27,fmwc!P:V,2,FALSE)</f>
        <v>29</v>
      </c>
      <c r="F27" s="9"/>
      <c r="G27" s="9"/>
      <c r="H27" s="9"/>
      <c r="I27" s="115">
        <v>25</v>
      </c>
      <c r="J27" s="115" t="str" cm="1">
        <f t="array" ref="J27">INDEX(_xlfn.SORTBY($B$3:$B$50, $C$3:$C$50, -1, $D$3:$D$50, -1), I27)</f>
        <v>PARAGUAY</v>
      </c>
      <c r="K27" s="115" t="str" cm="1">
        <f t="array" ref="K27">_xlfn.LET(
  _xlpm.grpRange, $A$3:$A$50,
  _xlpm.countryRange, $B$3:$B$50,
  _xlpm.ptsRange, $C$3:$C$50,
  _xlpm.diffRange, $D$3:$D$50,
  _xlpm.rkRange, $E$3:$E$50,
  _xlpm.thisCountry, J27,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D3</v>
      </c>
      <c r="L27" s="115">
        <f t="shared" si="0"/>
        <v>3</v>
      </c>
      <c r="M27" s="115">
        <f t="shared" si="1"/>
        <v>-2</v>
      </c>
      <c r="N27" s="116">
        <f t="shared" si="2"/>
        <v>40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" thickBot="1" x14ac:dyDescent="0.35">
      <c r="A28" s="118" t="s">
        <v>150</v>
      </c>
      <c r="B28" s="145" t="s">
        <v>22</v>
      </c>
      <c r="C28" s="118">
        <f>VLOOKUP(B28,fmwc!P:V,6,FALSE)</f>
        <v>2</v>
      </c>
      <c r="D28" s="118">
        <f>VLOOKUP(B28,fmwc!P:V,7,FALSE)</f>
        <v>0</v>
      </c>
      <c r="E28" s="119">
        <f>VLOOKUP(B28,fmwc!P:V,2,FALSE)</f>
        <v>9</v>
      </c>
      <c r="F28" s="9"/>
      <c r="G28" s="9"/>
      <c r="H28" s="9"/>
      <c r="I28" s="115">
        <v>26</v>
      </c>
      <c r="J28" s="115" t="str" cm="1">
        <f t="array" ref="J28">INDEX(_xlfn.SORTBY($B$3:$B$50, $C$3:$C$50, -1, $D$3:$D$50, -1), I28)</f>
        <v>ALGERIA</v>
      </c>
      <c r="K28" s="115" t="str" cm="1">
        <f t="array" ref="K28">_xlfn.LET(
  _xlpm.grpRange, $A$3:$A$50,
  _xlpm.countryRange, $B$3:$B$50,
  _xlpm.ptsRange, $C$3:$C$50,
  _xlpm.diffRange, $D$3:$D$50,
  _xlpm.rkRange, $E$3:$E$50,
  _xlpm.thisCountry, J28,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J3</v>
      </c>
      <c r="L28" s="115">
        <f t="shared" si="0"/>
        <v>3</v>
      </c>
      <c r="M28" s="115">
        <f t="shared" si="1"/>
        <v>-2</v>
      </c>
      <c r="N28" s="116">
        <f t="shared" si="2"/>
        <v>28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" thickBot="1" x14ac:dyDescent="0.35">
      <c r="A29" s="118" t="s">
        <v>150</v>
      </c>
      <c r="B29" s="147" t="s">
        <v>24</v>
      </c>
      <c r="C29" s="118">
        <f>VLOOKUP(B29,fmwc!P:V,6,FALSE)</f>
        <v>2</v>
      </c>
      <c r="D29" s="118">
        <f>VLOOKUP(B29,fmwc!P:V,7,FALSE)</f>
        <v>0</v>
      </c>
      <c r="E29" s="119">
        <f>VLOOKUP(B29,fmwc!P:V,2,FALSE)</f>
        <v>20</v>
      </c>
      <c r="F29" s="9"/>
      <c r="G29" s="9"/>
      <c r="H29" s="9"/>
      <c r="I29" s="115">
        <v>27</v>
      </c>
      <c r="J29" s="115" t="str" cm="1">
        <f t="array" ref="J29">INDEX(_xlfn.SORTBY($B$3:$B$50, $C$3:$C$50, -1, $D$3:$D$50, -1), I29)</f>
        <v>BELGIUM</v>
      </c>
      <c r="K29" s="115" t="str" cm="1">
        <f t="array" ref="K29">_xlfn.LET(
  _xlpm.grpRange, $A$3:$A$50,
  _xlpm.countryRange, $B$3:$B$50,
  _xlpm.ptsRange, $C$3:$C$50,
  _xlpm.diffRange, $D$3:$D$50,
  _xlpm.rkRange, $E$3:$E$50,
  _xlpm.thisCountry, J29,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G2</v>
      </c>
      <c r="L29" s="115">
        <f t="shared" si="0"/>
        <v>2</v>
      </c>
      <c r="M29" s="115">
        <f t="shared" si="1"/>
        <v>0</v>
      </c>
      <c r="N29" s="116">
        <f t="shared" si="2"/>
        <v>9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" thickBot="1" x14ac:dyDescent="0.35">
      <c r="A30" s="118" t="s">
        <v>150</v>
      </c>
      <c r="B30" s="148" t="s">
        <v>25</v>
      </c>
      <c r="C30" s="118">
        <f>VLOOKUP(B30,fmwc!P:V,6,FALSE)</f>
        <v>1</v>
      </c>
      <c r="D30" s="118">
        <f>VLOOKUP(B30,fmwc!P:V,7,FALSE)</f>
        <v>-2</v>
      </c>
      <c r="E30" s="119">
        <f>VLOOKUP(B30,fmwc!P:V,2,FALSE)</f>
        <v>85</v>
      </c>
      <c r="F30" s="9"/>
      <c r="G30" s="9"/>
      <c r="H30" s="9"/>
      <c r="I30" s="115">
        <v>28</v>
      </c>
      <c r="J30" s="115" t="str" cm="1">
        <f t="array" ref="J30">INDEX(_xlfn.SORTBY($B$3:$B$50, $C$3:$C$50, -1, $D$3:$D$50, -1), I30)</f>
        <v>IRAN</v>
      </c>
      <c r="K30" s="115" t="str" cm="1">
        <f t="array" ref="K30">_xlfn.LET(
  _xlpm.grpRange, $A$3:$A$50,
  _xlpm.countryRange, $B$3:$B$50,
  _xlpm.ptsRange, $C$3:$C$50,
  _xlpm.diffRange, $D$3:$D$50,
  _xlpm.rkRange, $E$3:$E$50,
  _xlpm.thisCountry, J30,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G3</v>
      </c>
      <c r="L30" s="115">
        <f t="shared" si="0"/>
        <v>2</v>
      </c>
      <c r="M30" s="115">
        <f t="shared" si="1"/>
        <v>0</v>
      </c>
      <c r="N30" s="116">
        <f t="shared" si="2"/>
        <v>20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" thickBot="1" x14ac:dyDescent="0.35">
      <c r="A31" s="118" t="s">
        <v>151</v>
      </c>
      <c r="B31" s="149" t="s">
        <v>26</v>
      </c>
      <c r="C31" s="118">
        <f>VLOOKUP(B31,fmwc!W:AC,6,FALSE)</f>
        <v>4</v>
      </c>
      <c r="D31" s="118">
        <f>VLOOKUP(B31,fmwc!W:AC,7,FALSE)</f>
        <v>4</v>
      </c>
      <c r="E31" s="119">
        <f>VLOOKUP(B31,fmwc!W:AC,2,FALSE)</f>
        <v>2</v>
      </c>
      <c r="F31" s="9"/>
      <c r="G31" s="9"/>
      <c r="H31" s="9"/>
      <c r="I31" s="115">
        <v>29</v>
      </c>
      <c r="J31" s="115" t="str" cm="1">
        <f t="array" ref="J31">INDEX(_xlfn.SORTBY($B$3:$B$50, $C$3:$C$50, -1, $D$3:$D$50, -1), I31)</f>
        <v>CAPE VERDE</v>
      </c>
      <c r="K31" s="115" t="str" cm="1">
        <f t="array" ref="K31">_xlfn.LET(
  _xlpm.grpRange, $A$3:$A$50,
  _xlpm.countryRange, $B$3:$B$50,
  _xlpm.ptsRange, $C$3:$C$50,
  _xlpm.diffRange, $D$3:$D$50,
  _xlpm.rkRange, $E$3:$E$50,
  _xlpm.thisCountry, J31,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H3</v>
      </c>
      <c r="L31" s="115">
        <f t="shared" si="0"/>
        <v>2</v>
      </c>
      <c r="M31" s="115">
        <f t="shared" si="1"/>
        <v>0</v>
      </c>
      <c r="N31" s="116">
        <f t="shared" si="2"/>
        <v>69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" thickBot="1" x14ac:dyDescent="0.35">
      <c r="A32" s="118" t="s">
        <v>151</v>
      </c>
      <c r="B32" s="150" t="s">
        <v>27</v>
      </c>
      <c r="C32" s="118">
        <f>VLOOKUP(B32,fmwc!W:AC,6,FALSE)</f>
        <v>2</v>
      </c>
      <c r="D32" s="118">
        <f>VLOOKUP(B32,fmwc!W:AC,7,FALSE)</f>
        <v>0</v>
      </c>
      <c r="E32" s="119">
        <f>VLOOKUP(B32,fmwc!W:AC,2,FALSE)</f>
        <v>69</v>
      </c>
      <c r="F32" s="9"/>
      <c r="G32" s="9"/>
      <c r="H32" s="9"/>
      <c r="I32" s="115">
        <v>30</v>
      </c>
      <c r="J32" s="115" t="str" cm="1">
        <f t="array" ref="J32">INDEX(_xlfn.SORTBY($B$3:$B$50, $C$3:$C$50, -1, $D$3:$D$50, -1), I32)</f>
        <v>URUGUAY</v>
      </c>
      <c r="K32" s="115" t="str" cm="1">
        <f t="array" ref="K32">_xlfn.LET(
  _xlpm.grpRange, $A$3:$A$50,
  _xlpm.countryRange, $B$3:$B$50,
  _xlpm.ptsRange, $C$3:$C$50,
  _xlpm.diffRange, $D$3:$D$50,
  _xlpm.rkRange, $E$3:$E$50,
  _xlpm.thisCountry, J32,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H2</v>
      </c>
      <c r="L32" s="115">
        <f t="shared" si="0"/>
        <v>2</v>
      </c>
      <c r="M32" s="115">
        <f t="shared" si="1"/>
        <v>0</v>
      </c>
      <c r="N32" s="116">
        <f t="shared" si="2"/>
        <v>16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" thickBot="1" x14ac:dyDescent="0.35">
      <c r="A33" s="118" t="s">
        <v>151</v>
      </c>
      <c r="B33" s="151" t="s">
        <v>29</v>
      </c>
      <c r="C33" s="118">
        <f>VLOOKUP(B33,fmwc!W:AC,6,FALSE)</f>
        <v>2</v>
      </c>
      <c r="D33" s="118">
        <f>VLOOKUP(B33,fmwc!W:AC,7,FALSE)</f>
        <v>0</v>
      </c>
      <c r="E33" s="119">
        <f>VLOOKUP(B33,fmwc!W:AC,2,FALSE)</f>
        <v>16</v>
      </c>
      <c r="F33" s="9"/>
      <c r="G33" s="9"/>
      <c r="H33" s="9"/>
      <c r="I33" s="115">
        <v>31</v>
      </c>
      <c r="J33" s="115" t="str" cm="1">
        <f t="array" ref="J33">INDEX(_xlfn.SORTBY($B$3:$B$50, $C$3:$C$50, -1, $D$3:$D$50, -1), I33)</f>
        <v>CONGO</v>
      </c>
      <c r="K33" s="115" t="str" cm="1">
        <f t="array" ref="K33">_xlfn.LET(
  _xlpm.grpRange, $A$3:$A$50,
  _xlpm.countryRange, $B$3:$B$50,
  _xlpm.ptsRange, $C$3:$C$50,
  _xlpm.diffRange, $D$3:$D$50,
  _xlpm.rkRange, $E$3:$E$50,
  _xlpm.thisCountry, J33,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K3</v>
      </c>
      <c r="L33" s="115">
        <f t="shared" si="0"/>
        <v>1</v>
      </c>
      <c r="M33" s="115">
        <f t="shared" si="1"/>
        <v>0</v>
      </c>
      <c r="N33" s="116">
        <f t="shared" si="2"/>
        <v>45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" thickBot="1" x14ac:dyDescent="0.35">
      <c r="A34" s="118" t="s">
        <v>151</v>
      </c>
      <c r="B34" s="152" t="s">
        <v>28</v>
      </c>
      <c r="C34" s="118">
        <f>VLOOKUP(B34,fmwc!W:AC,6,FALSE)</f>
        <v>1</v>
      </c>
      <c r="D34" s="118">
        <f>VLOOKUP(B34,fmwc!W:AC,7,FALSE)</f>
        <v>-4</v>
      </c>
      <c r="E34" s="119">
        <f>VLOOKUP(B34,fmwc!W:AC,2,FALSE)</f>
        <v>61</v>
      </c>
      <c r="F34" s="9"/>
      <c r="G34" s="9"/>
      <c r="H34" s="9"/>
      <c r="I34" s="115">
        <v>32</v>
      </c>
      <c r="J34" s="115" t="str" cm="1">
        <f t="array" ref="J34">INDEX(_xlfn.SORTBY($B$3:$B$50, $C$3:$C$50, -1, $D$3:$D$50, -1), I34)</f>
        <v>CZECHIA</v>
      </c>
      <c r="K34" s="115" t="str" cm="1">
        <f t="array" ref="K34">_xlfn.LET(
  _xlpm.grpRange, $A$3:$A$50,
  _xlpm.countryRange, $B$3:$B$50,
  _xlpm.ptsRange, $C$3:$C$50,
  _xlpm.diffRange, $D$3:$D$50,
  _xlpm.rkRange, $E$3:$E$50,
  _xlpm.thisCountry, J34,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A3</v>
      </c>
      <c r="L34" s="115">
        <f t="shared" si="0"/>
        <v>1</v>
      </c>
      <c r="M34" s="115">
        <f t="shared" si="1"/>
        <v>-1</v>
      </c>
      <c r="N34" s="116">
        <f t="shared" si="2"/>
        <v>39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" thickBot="1" x14ac:dyDescent="0.35">
      <c r="A35" s="118" t="s">
        <v>152</v>
      </c>
      <c r="B35" s="153" t="s">
        <v>33</v>
      </c>
      <c r="C35" s="118">
        <f>VLOOKUP(B35,fmwc!B:H,6,FALSE)</f>
        <v>6</v>
      </c>
      <c r="D35" s="118">
        <f>VLOOKUP(B35,fmwc!B:H,7,FALSE)</f>
        <v>4</v>
      </c>
      <c r="E35" s="119">
        <f>VLOOKUP(B35,fmwc!B:H,2,FALSE)</f>
        <v>31</v>
      </c>
      <c r="F35" s="9"/>
      <c r="G35" s="9"/>
      <c r="H35" s="9"/>
      <c r="I35" s="115">
        <v>33</v>
      </c>
      <c r="J35" s="115" t="str" cm="1">
        <f t="array" ref="J35">INDEX(_xlfn.SORTBY($B$3:$B$50, $C$3:$C$50, -1, $D$3:$D$50, -1), I35)</f>
        <v>ECUDOR</v>
      </c>
      <c r="K35" s="115" t="str" cm="1">
        <f t="array" ref="K35">_xlfn.LET(
  _xlpm.grpRange, $A$3:$A$50,
  _xlpm.countryRange, $B$3:$B$50,
  _xlpm.ptsRange, $C$3:$C$50,
  _xlpm.diffRange, $D$3:$D$50,
  _xlpm.rkRange, $E$3:$E$50,
  _xlpm.thisCountry, J35,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E3</v>
      </c>
      <c r="L35" s="115">
        <f t="shared" si="0"/>
        <v>1</v>
      </c>
      <c r="M35" s="115">
        <f t="shared" si="1"/>
        <v>-1</v>
      </c>
      <c r="N35" s="116">
        <f t="shared" si="2"/>
        <v>23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" thickBot="1" x14ac:dyDescent="0.35">
      <c r="A36" s="118" t="s">
        <v>152</v>
      </c>
      <c r="B36" s="154" t="s">
        <v>30</v>
      </c>
      <c r="C36" s="118">
        <f>VLOOKUP(B36,fmwc!B:H,6,FALSE)</f>
        <v>6</v>
      </c>
      <c r="D36" s="118">
        <f>VLOOKUP(B36,fmwc!B:H,7,FALSE)</f>
        <v>5</v>
      </c>
      <c r="E36" s="119">
        <f>VLOOKUP(B36,fmwc!B:H,2,FALSE)</f>
        <v>3</v>
      </c>
      <c r="F36" s="9"/>
      <c r="G36" s="9"/>
      <c r="H36" s="9"/>
      <c r="I36" s="115">
        <v>34</v>
      </c>
      <c r="J36" s="115" t="str" cm="1">
        <f t="array" ref="J36">INDEX(_xlfn.SORTBY($B$3:$B$50, $C$3:$C$50, -1, $D$3:$D$50, -1), I36)</f>
        <v>SOUTH AFRICA</v>
      </c>
      <c r="K36" s="115" t="str" cm="1">
        <f t="array" ref="K36">_xlfn.LET(
  _xlpm.grpRange, $A$3:$A$50,
  _xlpm.countryRange, $B$3:$B$50,
  _xlpm.ptsRange, $C$3:$C$50,
  _xlpm.diffRange, $D$3:$D$50,
  _xlpm.rkRange, $E$3:$E$50,
  _xlpm.thisCountry, J36,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A4</v>
      </c>
      <c r="L36" s="115">
        <f t="shared" si="0"/>
        <v>1</v>
      </c>
      <c r="M36" s="115">
        <f t="shared" si="1"/>
        <v>-2</v>
      </c>
      <c r="N36" s="116">
        <f t="shared" si="2"/>
        <v>60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" thickBot="1" x14ac:dyDescent="0.35">
      <c r="A37" s="118" t="s">
        <v>152</v>
      </c>
      <c r="B37" s="155" t="s">
        <v>31</v>
      </c>
      <c r="C37" s="118">
        <f>VLOOKUP(B37,fmwc!B:H,6,FALSE)</f>
        <v>0</v>
      </c>
      <c r="D37" s="118">
        <f>VLOOKUP(B37,fmwc!B:H,7,FALSE)</f>
        <v>-3</v>
      </c>
      <c r="E37" s="119">
        <f>VLOOKUP(B37,fmwc!B:H,2,FALSE)</f>
        <v>15</v>
      </c>
      <c r="F37" s="9"/>
      <c r="G37" s="9"/>
      <c r="H37" s="9"/>
      <c r="I37" s="115">
        <v>35</v>
      </c>
      <c r="J37" s="115" t="str" cm="1">
        <f t="array" ref="J37">INDEX(_xlfn.SORTBY($B$3:$B$50, $C$3:$C$50, -1, $D$3:$D$50, -1), I37)</f>
        <v>NEW ZEALAND</v>
      </c>
      <c r="K37" s="115" t="str" cm="1">
        <f t="array" ref="K37">_xlfn.LET(
  _xlpm.grpRange, $A$3:$A$50,
  _xlpm.countryRange, $B$3:$B$50,
  _xlpm.ptsRange, $C$3:$C$50,
  _xlpm.diffRange, $D$3:$D$50,
  _xlpm.rkRange, $E$3:$E$50,
  _xlpm.thisCountry, J37,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G4</v>
      </c>
      <c r="L37" s="115">
        <f t="shared" si="0"/>
        <v>1</v>
      </c>
      <c r="M37" s="115">
        <f t="shared" si="1"/>
        <v>-2</v>
      </c>
      <c r="N37" s="116">
        <f t="shared" si="2"/>
        <v>85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" thickBot="1" x14ac:dyDescent="0.35">
      <c r="A38" s="118" t="s">
        <v>152</v>
      </c>
      <c r="B38" s="156" t="s">
        <v>32</v>
      </c>
      <c r="C38" s="118">
        <f>VLOOKUP(B38,fmwc!B:H,6,FALSE)</f>
        <v>0</v>
      </c>
      <c r="D38" s="118">
        <f>VLOOKUP(B38,fmwc!B:H,7,FALSE)</f>
        <v>-6</v>
      </c>
      <c r="E38" s="119">
        <f>VLOOKUP(B38,fmwc!B:H,2,FALSE)</f>
        <v>56</v>
      </c>
      <c r="F38" s="9"/>
      <c r="G38" s="9"/>
      <c r="H38" s="9"/>
      <c r="I38" s="115">
        <v>36</v>
      </c>
      <c r="J38" s="115" t="str" cm="1">
        <f t="array" ref="J38">INDEX(_xlfn.SORTBY($B$3:$B$50, $C$3:$C$50, -1, $D$3:$D$50, -1), I38)</f>
        <v>BOSNIA-HERZ</v>
      </c>
      <c r="K38" s="115" t="str" cm="1">
        <f t="array" ref="K38">_xlfn.LET(
  _xlpm.grpRange, $A$3:$A$50,
  _xlpm.countryRange, $B$3:$B$50,
  _xlpm.ptsRange, $C$3:$C$50,
  _xlpm.diffRange, $D$3:$D$50,
  _xlpm.rkRange, $E$3:$E$50,
  _xlpm.thisCountry, J38,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B3</v>
      </c>
      <c r="L38" s="115">
        <f t="shared" si="0"/>
        <v>1</v>
      </c>
      <c r="M38" s="115">
        <f t="shared" si="1"/>
        <v>-3</v>
      </c>
      <c r="N38" s="116">
        <f t="shared" si="2"/>
        <v>64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" thickBot="1" x14ac:dyDescent="0.35">
      <c r="A39" s="118" t="s">
        <v>153</v>
      </c>
      <c r="B39" s="157" t="s">
        <v>34</v>
      </c>
      <c r="C39" s="118">
        <f>VLOOKUP(B39,fmwc!I:O,6,FALSE)</f>
        <v>6</v>
      </c>
      <c r="D39" s="118">
        <f>VLOOKUP(B39,fmwc!I:O,7,FALSE)</f>
        <v>5</v>
      </c>
      <c r="E39" s="119">
        <f>VLOOKUP(B39,fmwc!I:O,2,FALSE)</f>
        <v>1</v>
      </c>
      <c r="F39" s="9"/>
      <c r="G39" s="9"/>
      <c r="H39" s="9"/>
      <c r="I39" s="115">
        <v>37</v>
      </c>
      <c r="J39" s="115" t="str" cm="1">
        <f t="array" ref="J39">INDEX(_xlfn.SORTBY($B$3:$B$50, $C$3:$C$50, -1, $D$3:$D$50, -1), I39)</f>
        <v>SAUDI ARABIA</v>
      </c>
      <c r="K39" s="115" t="str" cm="1">
        <f t="array" ref="K39">_xlfn.LET(
  _xlpm.grpRange, $A$3:$A$50,
  _xlpm.countryRange, $B$3:$B$50,
  _xlpm.ptsRange, $C$3:$C$50,
  _xlpm.diffRange, $D$3:$D$50,
  _xlpm.rkRange, $E$3:$E$50,
  _xlpm.thisCountry, J39,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H4</v>
      </c>
      <c r="L39" s="115">
        <f t="shared" si="0"/>
        <v>1</v>
      </c>
      <c r="M39" s="115">
        <f t="shared" si="1"/>
        <v>-4</v>
      </c>
      <c r="N39" s="116">
        <f t="shared" si="2"/>
        <v>61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" thickBot="1" x14ac:dyDescent="0.35">
      <c r="A40" s="118" t="s">
        <v>153</v>
      </c>
      <c r="B40" s="158" t="s">
        <v>36</v>
      </c>
      <c r="C40" s="118">
        <f>VLOOKUP(B40,fmwc!I:O,6,FALSE)</f>
        <v>3</v>
      </c>
      <c r="D40" s="118">
        <f>VLOOKUP(B40,fmwc!I:O,7,FALSE)</f>
        <v>0</v>
      </c>
      <c r="E40" s="119">
        <f>VLOOKUP(B40,fmwc!I:O,2,FALSE)</f>
        <v>24</v>
      </c>
      <c r="F40" s="9"/>
      <c r="G40" s="9"/>
      <c r="H40" s="9"/>
      <c r="I40" s="115">
        <v>38</v>
      </c>
      <c r="J40" s="115" t="str" cm="1">
        <f t="array" ref="J40">INDEX(_xlfn.SORTBY($B$3:$B$50, $C$3:$C$50, -1, $D$3:$D$50, -1), I40)</f>
        <v>QATAR</v>
      </c>
      <c r="K40" s="115" t="str" cm="1">
        <f t="array" ref="K40">_xlfn.LET(
  _xlpm.grpRange, $A$3:$A$50,
  _xlpm.countryRange, $B$3:$B$50,
  _xlpm.ptsRange, $C$3:$C$50,
  _xlpm.diffRange, $D$3:$D$50,
  _xlpm.rkRange, $E$3:$E$50,
  _xlpm.thisCountry, J40,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B4</v>
      </c>
      <c r="L40" s="115">
        <f t="shared" si="0"/>
        <v>1</v>
      </c>
      <c r="M40" s="115">
        <f t="shared" si="1"/>
        <v>-6</v>
      </c>
      <c r="N40" s="116">
        <f t="shared" si="2"/>
        <v>57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" thickBot="1" x14ac:dyDescent="0.35">
      <c r="A41" s="118" t="s">
        <v>153</v>
      </c>
      <c r="B41" s="159" t="s">
        <v>37</v>
      </c>
      <c r="C41" s="118">
        <f>VLOOKUP(B41,fmwc!I:O,6,FALSE)</f>
        <v>0</v>
      </c>
      <c r="D41" s="118">
        <f>VLOOKUP(B41,fmwc!I:O,7,FALSE)</f>
        <v>-3</v>
      </c>
      <c r="E41" s="119">
        <f>VLOOKUP(B41,fmwc!I:O,2,FALSE)</f>
        <v>63</v>
      </c>
      <c r="F41" s="9"/>
      <c r="G41" s="9"/>
      <c r="H41" s="9"/>
      <c r="I41" s="115">
        <v>39</v>
      </c>
      <c r="J41" s="115" t="str" cm="1">
        <f t="array" ref="J41">INDEX(_xlfn.SORTBY($B$3:$B$50, $C$3:$C$50, -1, $D$3:$D$50, -1), I41)</f>
        <v>CURACAO</v>
      </c>
      <c r="K41" s="115" t="str" cm="1">
        <f t="array" ref="K41">_xlfn.LET(
  _xlpm.grpRange, $A$3:$A$50,
  _xlpm.countryRange, $B$3:$B$50,
  _xlpm.ptsRange, $C$3:$C$50,
  _xlpm.diffRange, $D$3:$D$50,
  _xlpm.rkRange, $E$3:$E$50,
  _xlpm.thisCountry, J41,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E4</v>
      </c>
      <c r="L41" s="115">
        <f t="shared" si="0"/>
        <v>1</v>
      </c>
      <c r="M41" s="115">
        <f t="shared" si="1"/>
        <v>-6</v>
      </c>
      <c r="N41" s="116">
        <f t="shared" si="2"/>
        <v>82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" thickBot="1" x14ac:dyDescent="0.35">
      <c r="A42" s="118" t="s">
        <v>153</v>
      </c>
      <c r="B42" s="170" t="s">
        <v>35</v>
      </c>
      <c r="C42" s="118">
        <f>VLOOKUP(B42,fmwc!I:O,6,FALSE)</f>
        <v>3</v>
      </c>
      <c r="D42" s="118">
        <f>VLOOKUP(B42,fmwc!I:O,7,FALSE)</f>
        <v>-2</v>
      </c>
      <c r="E42" s="119">
        <f>VLOOKUP(B42,fmwc!I:O,2,FALSE)</f>
        <v>28</v>
      </c>
      <c r="F42" s="9"/>
      <c r="G42" s="9"/>
      <c r="H42" s="9"/>
      <c r="I42" s="115">
        <v>40</v>
      </c>
      <c r="J42" s="115" t="str" cm="1">
        <f t="array" ref="J42">INDEX(_xlfn.SORTBY($B$3:$B$50, $C$3:$C$50, -1, $D$3:$D$50, -1), I42)</f>
        <v>PANAMA</v>
      </c>
      <c r="K42" s="115" t="str" cm="1">
        <f t="array" ref="K42">_xlfn.LET(
  _xlpm.grpRange, $A$3:$A$50,
  _xlpm.countryRange, $B$3:$B$50,
  _xlpm.ptsRange, $C$3:$C$50,
  _xlpm.diffRange, $D$3:$D$50,
  _xlpm.rkRange, $E$3:$E$50,
  _xlpm.thisCountry, J42,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L3</v>
      </c>
      <c r="L42" s="115">
        <f t="shared" si="0"/>
        <v>0</v>
      </c>
      <c r="M42" s="115">
        <f t="shared" si="1"/>
        <v>-1</v>
      </c>
      <c r="N42" s="116">
        <f t="shared" si="2"/>
        <v>34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5" thickBot="1" x14ac:dyDescent="0.35">
      <c r="A43" s="118" t="s">
        <v>154</v>
      </c>
      <c r="B43" s="171" t="s">
        <v>41</v>
      </c>
      <c r="C43" s="118">
        <f>VLOOKUP(B43,fmwc!P:V,6,FALSE)</f>
        <v>3</v>
      </c>
      <c r="D43" s="118">
        <f>VLOOKUP(B43,fmwc!P:V,7,FALSE)</f>
        <v>2</v>
      </c>
      <c r="E43" s="119">
        <f>VLOOKUP(B43,fmwc!P:V,2,FALSE)</f>
        <v>13</v>
      </c>
      <c r="F43" s="9"/>
      <c r="G43" s="9"/>
      <c r="H43" s="9"/>
      <c r="I43" s="115">
        <v>41</v>
      </c>
      <c r="J43" s="115" t="str" cm="1">
        <f t="array" ref="J43">INDEX(_xlfn.SORTBY($B$3:$B$50, $C$3:$C$50, -1, $D$3:$D$50, -1), I43)</f>
        <v>CROATIA</v>
      </c>
      <c r="K43" s="115" t="str" cm="1">
        <f t="array" ref="K43">_xlfn.LET(
  _xlpm.grpRange, $A$3:$A$50,
  _xlpm.countryRange, $B$3:$B$50,
  _xlpm.ptsRange, $C$3:$C$50,
  _xlpm.diffRange, $D$3:$D$50,
  _xlpm.rkRange, $E$3:$E$50,
  _xlpm.thisCountry, J43,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L4</v>
      </c>
      <c r="L43" s="115">
        <f t="shared" si="0"/>
        <v>0</v>
      </c>
      <c r="M43" s="115">
        <f t="shared" si="1"/>
        <v>-2</v>
      </c>
      <c r="N43" s="116">
        <f t="shared" si="2"/>
        <v>11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" thickBot="1" x14ac:dyDescent="0.35">
      <c r="A44" s="118" t="s">
        <v>154</v>
      </c>
      <c r="B44" s="172" t="s">
        <v>38</v>
      </c>
      <c r="C44" s="118">
        <f>VLOOKUP(B44,fmwc!P:V,6,FALSE)</f>
        <v>4</v>
      </c>
      <c r="D44" s="118">
        <f>VLOOKUP(B44,fmwc!P:V,7,FALSE)</f>
        <v>5</v>
      </c>
      <c r="E44" s="119">
        <f>VLOOKUP(B44,fmwc!P:V,2,FALSE)</f>
        <v>5</v>
      </c>
      <c r="F44" s="9"/>
      <c r="G44" s="9"/>
      <c r="H44" s="9"/>
      <c r="I44" s="115">
        <v>42</v>
      </c>
      <c r="J44" s="115" t="str" cm="1">
        <f t="array" ref="J44">INDEX(_xlfn.SORTBY($B$3:$B$50, $C$3:$C$50, -1, $D$3:$D$50, -1), I44)</f>
        <v>TURKIYE</v>
      </c>
      <c r="K44" s="115" t="str" cm="1">
        <f t="array" ref="K44">_xlfn.LET(
  _xlpm.grpRange, $A$3:$A$50,
  _xlpm.countryRange, $B$3:$B$50,
  _xlpm.ptsRange, $C$3:$C$50,
  _xlpm.diffRange, $D$3:$D$50,
  _xlpm.rkRange, $E$3:$E$50,
  _xlpm.thisCountry, J44,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D4</v>
      </c>
      <c r="L44" s="115">
        <f t="shared" si="0"/>
        <v>0</v>
      </c>
      <c r="M44" s="115">
        <f t="shared" si="1"/>
        <v>-3</v>
      </c>
      <c r="N44" s="116">
        <f t="shared" si="2"/>
        <v>22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" thickBot="1" x14ac:dyDescent="0.35">
      <c r="A45" s="118" t="s">
        <v>154</v>
      </c>
      <c r="B45" s="173" t="s">
        <v>39</v>
      </c>
      <c r="C45" s="118">
        <f>VLOOKUP(B45,fmwc!P:V,6,FALSE)</f>
        <v>1</v>
      </c>
      <c r="D45" s="118">
        <f>VLOOKUP(B45,fmwc!P:V,7,FALSE)</f>
        <v>0</v>
      </c>
      <c r="E45" s="119">
        <f>VLOOKUP(B45,fmwc!P:V,2,FALSE)</f>
        <v>45</v>
      </c>
      <c r="F45" s="9"/>
      <c r="G45" s="9"/>
      <c r="H45" s="9"/>
      <c r="I45" s="115">
        <v>43</v>
      </c>
      <c r="J45" s="115" t="str" cm="1">
        <f t="array" ref="J45">INDEX(_xlfn.SORTBY($B$3:$B$50, $C$3:$C$50, -1, $D$3:$D$50, -1), I45)</f>
        <v>SENEGAL</v>
      </c>
      <c r="K45" s="115" t="str" cm="1">
        <f t="array" ref="K45">_xlfn.LET(
  _xlpm.grpRange, $A$3:$A$50,
  _xlpm.countryRange, $B$3:$B$50,
  _xlpm.ptsRange, $C$3:$C$50,
  _xlpm.diffRange, $D$3:$D$50,
  _xlpm.rkRange, $E$3:$E$50,
  _xlpm.thisCountry, J45,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I3</v>
      </c>
      <c r="L45" s="115">
        <f t="shared" si="0"/>
        <v>0</v>
      </c>
      <c r="M45" s="115">
        <f t="shared" si="1"/>
        <v>-3</v>
      </c>
      <c r="N45" s="116">
        <f t="shared" si="2"/>
        <v>15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5" thickBot="1" x14ac:dyDescent="0.35">
      <c r="A46" s="118" t="s">
        <v>154</v>
      </c>
      <c r="B46" s="174" t="s">
        <v>40</v>
      </c>
      <c r="C46" s="118">
        <f>VLOOKUP(B46,fmwc!P:V,6,FALSE)</f>
        <v>0</v>
      </c>
      <c r="D46" s="118">
        <f>VLOOKUP(B46,fmwc!P:V,7,FALSE)</f>
        <v>-7</v>
      </c>
      <c r="E46" s="119">
        <f>VLOOKUP(B46,fmwc!P:V,2,FALSE)</f>
        <v>50</v>
      </c>
      <c r="F46" s="9"/>
      <c r="G46" s="9"/>
      <c r="H46" s="9"/>
      <c r="I46" s="115">
        <v>44</v>
      </c>
      <c r="J46" s="115" t="str" cm="1">
        <f t="array" ref="J46">INDEX(_xlfn.SORTBY($B$3:$B$50, $C$3:$C$50, -1, $D$3:$D$50, -1), I46)</f>
        <v>JORDAN</v>
      </c>
      <c r="K46" s="115" t="str" cm="1">
        <f t="array" ref="K46">_xlfn.LET(
  _xlpm.grpRange, $A$3:$A$50,
  _xlpm.countryRange, $B$3:$B$50,
  _xlpm.ptsRange, $C$3:$C$50,
  _xlpm.diffRange, $D$3:$D$50,
  _xlpm.rkRange, $E$3:$E$50,
  _xlpm.thisCountry, J46,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J4</v>
      </c>
      <c r="L46" s="115">
        <f t="shared" si="0"/>
        <v>0</v>
      </c>
      <c r="M46" s="115">
        <f t="shared" si="1"/>
        <v>-3</v>
      </c>
      <c r="N46" s="116">
        <f t="shared" si="2"/>
        <v>63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5" thickBot="1" x14ac:dyDescent="0.35">
      <c r="A47" s="118" t="s">
        <v>50</v>
      </c>
      <c r="B47" s="175" t="s">
        <v>42</v>
      </c>
      <c r="C47" s="118">
        <f>VLOOKUP(B47,fmwc!W:AC,6,FALSE)</f>
        <v>4</v>
      </c>
      <c r="D47" s="118">
        <f>VLOOKUP(B47,fmwc!W:AC,7,FALSE)</f>
        <v>2</v>
      </c>
      <c r="E47" s="119">
        <f>VLOOKUP(B47,fmwc!W:AC,2,FALSE)</f>
        <v>4</v>
      </c>
      <c r="F47" s="9"/>
      <c r="G47" s="9"/>
      <c r="H47" s="9"/>
      <c r="I47" s="115">
        <v>45</v>
      </c>
      <c r="J47" s="115" t="str" cm="1">
        <f t="array" ref="J47">INDEX(_xlfn.SORTBY($B$3:$B$50, $C$3:$C$50, -1, $D$3:$D$50, -1), I47)</f>
        <v>HAITI</v>
      </c>
      <c r="K47" s="115" t="str" cm="1">
        <f t="array" ref="K47">_xlfn.LET(
  _xlpm.grpRange, $A$3:$A$50,
  _xlpm.countryRange, $B$3:$B$50,
  _xlpm.ptsRange, $C$3:$C$50,
  _xlpm.diffRange, $D$3:$D$50,
  _xlpm.rkRange, $E$3:$E$50,
  _xlpm.thisCountry, J47,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C4</v>
      </c>
      <c r="L47" s="115">
        <f t="shared" si="0"/>
        <v>0</v>
      </c>
      <c r="M47" s="115">
        <f t="shared" si="1"/>
        <v>-4</v>
      </c>
      <c r="N47" s="116">
        <f t="shared" si="2"/>
        <v>83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5" thickBot="1" x14ac:dyDescent="0.35">
      <c r="A48" s="118" t="s">
        <v>50</v>
      </c>
      <c r="B48" s="176" t="s">
        <v>44</v>
      </c>
      <c r="C48" s="118">
        <f>VLOOKUP(B48,fmwc!W:AC,6,FALSE)</f>
        <v>4</v>
      </c>
      <c r="D48" s="118">
        <f>VLOOKUP(B48,fmwc!W:AC,7,FALSE)</f>
        <v>1</v>
      </c>
      <c r="E48" s="119">
        <f>VLOOKUP(B48,fmwc!W:AC,2,FALSE)</f>
        <v>73</v>
      </c>
      <c r="F48" s="9"/>
      <c r="G48" s="9"/>
      <c r="H48" s="9"/>
      <c r="I48" s="115">
        <v>46</v>
      </c>
      <c r="J48" s="115" t="str" cm="1">
        <f t="array" ref="J48">INDEX(_xlfn.SORTBY($B$3:$B$50, $C$3:$C$50, -1, $D$3:$D$50, -1), I48)</f>
        <v>IRAQ</v>
      </c>
      <c r="K48" s="115" t="str" cm="1">
        <f t="array" ref="K48">_xlfn.LET(
  _xlpm.grpRange, $A$3:$A$50,
  _xlpm.countryRange, $B$3:$B$50,
  _xlpm.ptsRange, $C$3:$C$50,
  _xlpm.diffRange, $D$3:$D$50,
  _xlpm.rkRange, $E$3:$E$50,
  _xlpm.thisCountry, J48,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I4</v>
      </c>
      <c r="L48" s="115">
        <f t="shared" si="0"/>
        <v>0</v>
      </c>
      <c r="M48" s="115">
        <f t="shared" si="1"/>
        <v>-6</v>
      </c>
      <c r="N48" s="116">
        <f t="shared" si="2"/>
        <v>56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5" thickBot="1" x14ac:dyDescent="0.35">
      <c r="A49" s="118" t="s">
        <v>50</v>
      </c>
      <c r="B49" s="177" t="s">
        <v>45</v>
      </c>
      <c r="C49" s="118">
        <f>VLOOKUP(B49,fmwc!W:AC,6,FALSE)</f>
        <v>0</v>
      </c>
      <c r="D49" s="118">
        <f>VLOOKUP(B49,fmwc!W:AC,7,FALSE)</f>
        <v>-1</v>
      </c>
      <c r="E49" s="119">
        <f>VLOOKUP(B49,fmwc!W:AC,2,FALSE)</f>
        <v>34</v>
      </c>
      <c r="F49" s="9"/>
      <c r="G49" s="9"/>
      <c r="H49" s="9"/>
      <c r="I49" s="115">
        <v>47</v>
      </c>
      <c r="J49" s="115" t="str" cm="1">
        <f t="array" ref="J49">INDEX(_xlfn.SORTBY($B$3:$B$50, $C$3:$C$50, -1, $D$3:$D$50, -1), I49)</f>
        <v>UZBEKISTAN</v>
      </c>
      <c r="K49" s="115" t="str" cm="1">
        <f t="array" ref="K49">_xlfn.LET(
  _xlpm.grpRange, $A$3:$A$50,
  _xlpm.countryRange, $B$3:$B$50,
  _xlpm.ptsRange, $C$3:$C$50,
  _xlpm.diffRange, $D$3:$D$50,
  _xlpm.rkRange, $E$3:$E$50,
  _xlpm.thisCountry, J49,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K4</v>
      </c>
      <c r="L49" s="115">
        <f t="shared" si="0"/>
        <v>0</v>
      </c>
      <c r="M49" s="115">
        <f t="shared" si="1"/>
        <v>-7</v>
      </c>
      <c r="N49" s="116">
        <f t="shared" si="2"/>
        <v>50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5" thickBot="1" x14ac:dyDescent="0.35">
      <c r="A50" s="118" t="s">
        <v>50</v>
      </c>
      <c r="B50" s="178" t="s">
        <v>43</v>
      </c>
      <c r="C50" s="118">
        <f>VLOOKUP(B50,fmwc!W:AC,6,FALSE)</f>
        <v>0</v>
      </c>
      <c r="D50" s="118">
        <f>VLOOKUP(B50,fmwc!W:AC,7,FALSE)</f>
        <v>-2</v>
      </c>
      <c r="E50" s="119">
        <f>VLOOKUP(B50,fmwc!W:AC,2,FALSE)</f>
        <v>11</v>
      </c>
      <c r="F50" s="9"/>
      <c r="G50" s="9"/>
      <c r="H50" s="9"/>
      <c r="I50" s="115">
        <v>48</v>
      </c>
      <c r="J50" s="115" t="str" cm="1">
        <f t="array" ref="J50">INDEX(_xlfn.SORTBY($B$3:$B$50, $C$3:$C$50, -1, $D$3:$D$50, -1), I50)</f>
        <v>TUNISIA</v>
      </c>
      <c r="K50" s="115" t="str" cm="1">
        <f t="array" ref="K50">_xlfn.LET(
  _xlpm.grpRange, $A$3:$A$50,
  _xlpm.countryRange, $B$3:$B$50,
  _xlpm.ptsRange, $C$3:$C$50,
  _xlpm.diffRange, $D$3:$D$50,
  _xlpm.rkRange, $E$3:$E$50,
  _xlpm.thisCountry, J50,
  _xlpm.thisGrp, _xlfn.XLOOKUP(_xlpm.thisCountry, _xlpm.countryRange, _xlpm.grpRange, ""),
  _xlpm.thisPts, _xlfn.XLOOKUP(_xlpm.thisCountry, _xlpm.countryRange, _xlpm.ptsRange, 0),
  _xlpm.thisDiff, _xlfn.XLOOKUP(_xlpm.thisCountry, _xlpm.countryRange, _xlpm.diffRange, 0),
  _xlpm.thisRK, _xlfn.XLOOKUP(_xlpm.thisCountry, _xlpm.countryRange, _xlpm.rkRange, 9999),
  _xlpm.pos, 1
    + COUNTIFS(_xlpm.grpRange, _xlpm.thisGrp, _xlpm.ptsRange, "&gt;" &amp; _xlpm.thisPts)
    + COUNTIFS(_xlpm.grpRange, _xlpm.thisGrp, _xlpm.ptsRange, _xlpm.thisPts, _xlpm.diffRange, "&gt;" &amp; _xlpm.thisDiff)
    + COUNTIFS(_xlpm.grpRange, _xlpm.thisGrp, _xlpm.ptsRange, _xlpm.thisPts, _xlpm.diffRange, _xlpm.thisDiff, _xlpm.rkRange, "&lt;" &amp; _xlpm.thisRK),
  _xlpm.thisGrp &amp; _xlpm.pos
)</f>
        <v>F4</v>
      </c>
      <c r="L50" s="115">
        <f t="shared" si="0"/>
        <v>0</v>
      </c>
      <c r="M50" s="115">
        <f t="shared" si="1"/>
        <v>-8</v>
      </c>
      <c r="N50" s="116">
        <f t="shared" si="2"/>
        <v>46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3">
      <c r="F130" s="9"/>
      <c r="G130" s="9"/>
      <c r="H130" s="9"/>
    </row>
    <row r="131" spans="1:27" x14ac:dyDescent="0.3">
      <c r="F131" s="9"/>
      <c r="G131" s="9"/>
      <c r="H131" s="9"/>
    </row>
    <row r="132" spans="1:27" x14ac:dyDescent="0.3">
      <c r="F132" s="9"/>
      <c r="G132" s="9"/>
      <c r="H132" s="9"/>
    </row>
    <row r="133" spans="1:27" x14ac:dyDescent="0.3">
      <c r="F133" s="9"/>
      <c r="G133" s="9"/>
      <c r="H133" s="9"/>
    </row>
    <row r="134" spans="1:27" x14ac:dyDescent="0.3">
      <c r="F134" s="9"/>
      <c r="G134" s="9"/>
      <c r="H134" s="9"/>
    </row>
    <row r="135" spans="1:27" x14ac:dyDescent="0.3">
      <c r="F135" s="9"/>
      <c r="G135" s="9"/>
      <c r="H135" s="9"/>
    </row>
    <row r="136" spans="1:27" x14ac:dyDescent="0.3">
      <c r="F136" s="9"/>
      <c r="G136" s="9"/>
      <c r="H136" s="9"/>
    </row>
    <row r="137" spans="1:27" x14ac:dyDescent="0.3">
      <c r="F137" s="9"/>
      <c r="G137" s="9"/>
      <c r="H137" s="9"/>
    </row>
    <row r="138" spans="1:27" x14ac:dyDescent="0.3">
      <c r="F138" s="9"/>
      <c r="G138" s="9"/>
      <c r="H138" s="9"/>
    </row>
    <row r="139" spans="1:27" x14ac:dyDescent="0.3">
      <c r="F139" s="9"/>
      <c r="G139" s="9"/>
      <c r="H139" s="9"/>
    </row>
    <row r="140" spans="1:27" x14ac:dyDescent="0.3">
      <c r="F140" s="9"/>
      <c r="G140" s="9"/>
      <c r="H140" s="9"/>
    </row>
    <row r="141" spans="1:27" x14ac:dyDescent="0.3">
      <c r="F141" s="9"/>
      <c r="G141" s="9"/>
      <c r="H141" s="9"/>
    </row>
    <row r="142" spans="1:27" x14ac:dyDescent="0.3">
      <c r="F142" s="9"/>
      <c r="G142" s="9"/>
      <c r="H142" s="9"/>
    </row>
    <row r="143" spans="1:27" x14ac:dyDescent="0.3">
      <c r="F143" s="9"/>
      <c r="G143" s="9"/>
      <c r="H143" s="9"/>
    </row>
    <row r="144" spans="1:27" x14ac:dyDescent="0.3">
      <c r="F144" s="9"/>
      <c r="G144" s="9"/>
      <c r="H144" s="9"/>
    </row>
    <row r="145" spans="6:8" x14ac:dyDescent="0.3">
      <c r="F145" s="9"/>
      <c r="G145" s="9"/>
      <c r="H145" s="9"/>
    </row>
    <row r="146" spans="6:8" x14ac:dyDescent="0.3">
      <c r="F146" s="9"/>
      <c r="G146" s="9"/>
      <c r="H146" s="9"/>
    </row>
    <row r="147" spans="6:8" x14ac:dyDescent="0.3">
      <c r="F147" s="9"/>
      <c r="G147" s="9"/>
      <c r="H147" s="9"/>
    </row>
    <row r="148" spans="6:8" x14ac:dyDescent="0.3">
      <c r="F148" s="9"/>
      <c r="G148" s="9"/>
      <c r="H148" s="9"/>
    </row>
    <row r="149" spans="6:8" x14ac:dyDescent="0.3">
      <c r="F149" s="9"/>
      <c r="G149" s="9"/>
      <c r="H149" s="9"/>
    </row>
    <row r="150" spans="6:8" x14ac:dyDescent="0.3">
      <c r="F150" s="9"/>
      <c r="G150" s="9"/>
      <c r="H150" s="9"/>
    </row>
    <row r="151" spans="6:8" x14ac:dyDescent="0.3">
      <c r="F151" s="9"/>
      <c r="G151" s="9"/>
      <c r="H151" s="9"/>
    </row>
    <row r="152" spans="6:8" x14ac:dyDescent="0.3">
      <c r="F152" s="9"/>
      <c r="G152" s="9"/>
      <c r="H152" s="9"/>
    </row>
    <row r="153" spans="6:8" x14ac:dyDescent="0.3">
      <c r="F153" s="9"/>
      <c r="G153" s="9"/>
      <c r="H153" s="9"/>
    </row>
    <row r="154" spans="6:8" x14ac:dyDescent="0.3">
      <c r="F154" s="9"/>
      <c r="G154" s="9"/>
      <c r="H154" s="9"/>
    </row>
    <row r="155" spans="6:8" x14ac:dyDescent="0.3">
      <c r="F155" s="9"/>
      <c r="G155" s="9"/>
      <c r="H155" s="9"/>
    </row>
    <row r="156" spans="6:8" x14ac:dyDescent="0.3">
      <c r="F156" s="9"/>
      <c r="G156" s="9"/>
      <c r="H156" s="9"/>
    </row>
    <row r="157" spans="6:8" x14ac:dyDescent="0.3">
      <c r="F157" s="9"/>
      <c r="G157" s="9"/>
      <c r="H157" s="9"/>
    </row>
    <row r="158" spans="6:8" x14ac:dyDescent="0.3">
      <c r="F158" s="9"/>
      <c r="G158" s="9"/>
      <c r="H158" s="9"/>
    </row>
  </sheetData>
  <mergeCells count="2">
    <mergeCell ref="A1:E1"/>
    <mergeCell ref="I1:N1"/>
  </mergeCells>
  <conditionalFormatting sqref="K3:K34">
    <cfRule type="containsText" dxfId="0" priority="3" operator="containsText" text="3">
      <formula>NOT(ISERROR(SEARCH("3",K3)))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9466-50B2-4046-B1FC-E43DC801B3AF}">
  <dimension ref="B1:Q500"/>
  <sheetViews>
    <sheetView zoomScale="162" workbookViewId="0">
      <selection activeCell="L11" sqref="L11"/>
    </sheetView>
  </sheetViews>
  <sheetFormatPr defaultRowHeight="14.4" x14ac:dyDescent="0.3"/>
  <cols>
    <col min="1" max="1" width="1.77734375" style="70" customWidth="1"/>
    <col min="2" max="12" width="8.88671875" style="70"/>
    <col min="13" max="13" width="11.77734375" style="70" customWidth="1"/>
    <col min="14" max="16384" width="8.88671875" style="70"/>
  </cols>
  <sheetData>
    <row r="1" spans="2:17" x14ac:dyDescent="0.3">
      <c r="B1" s="111" t="s">
        <v>207</v>
      </c>
    </row>
    <row r="2" spans="2:17" ht="15" thickBot="1" x14ac:dyDescent="0.35">
      <c r="C2" s="70" t="s">
        <v>167</v>
      </c>
      <c r="D2" s="70" t="s">
        <v>185</v>
      </c>
      <c r="E2" s="70" t="s">
        <v>195</v>
      </c>
      <c r="F2" s="70" t="s">
        <v>178</v>
      </c>
      <c r="G2" s="70" t="s">
        <v>187</v>
      </c>
      <c r="H2" s="70" t="s">
        <v>183</v>
      </c>
      <c r="I2" s="70" t="s">
        <v>184</v>
      </c>
      <c r="J2" s="70" t="s">
        <v>186</v>
      </c>
      <c r="K2" s="190" t="s">
        <v>196</v>
      </c>
      <c r="L2" s="191"/>
      <c r="M2" s="192"/>
    </row>
    <row r="3" spans="2:17" x14ac:dyDescent="0.3">
      <c r="B3" s="79">
        <v>247</v>
      </c>
      <c r="C3" s="164" t="s">
        <v>190</v>
      </c>
      <c r="D3" s="165" t="s">
        <v>193</v>
      </c>
      <c r="E3" s="165" t="s">
        <v>197</v>
      </c>
      <c r="F3" s="165" t="s">
        <v>188</v>
      </c>
      <c r="G3" s="165" t="s">
        <v>192</v>
      </c>
      <c r="H3" s="165" t="s">
        <v>189</v>
      </c>
      <c r="I3" s="165" t="s">
        <v>194</v>
      </c>
      <c r="J3" s="166" t="s">
        <v>191</v>
      </c>
      <c r="K3" s="188" t="s">
        <v>213</v>
      </c>
      <c r="L3" s="188"/>
      <c r="M3" s="189"/>
    </row>
    <row r="4" spans="2:17" ht="15" thickBot="1" x14ac:dyDescent="0.35">
      <c r="B4" s="86"/>
      <c r="C4" s="167" t="s">
        <v>81</v>
      </c>
      <c r="D4" s="168" t="s">
        <v>82</v>
      </c>
      <c r="E4" s="168" t="s">
        <v>84</v>
      </c>
      <c r="F4" s="168" t="s">
        <v>85</v>
      </c>
      <c r="G4" s="168" t="s">
        <v>87</v>
      </c>
      <c r="H4" s="168" t="s">
        <v>89</v>
      </c>
      <c r="I4" s="168" t="s">
        <v>91</v>
      </c>
      <c r="J4" s="169" t="s">
        <v>92</v>
      </c>
      <c r="K4" s="199" t="s">
        <v>206</v>
      </c>
      <c r="L4" s="199"/>
      <c r="M4" s="200"/>
    </row>
    <row r="5" spans="2:17" x14ac:dyDescent="0.3">
      <c r="C5" s="73" t="s">
        <v>159</v>
      </c>
      <c r="D5" s="73" t="s">
        <v>160</v>
      </c>
      <c r="E5" s="73" t="s">
        <v>161</v>
      </c>
      <c r="F5" s="73" t="s">
        <v>162</v>
      </c>
      <c r="G5" s="73" t="s">
        <v>163</v>
      </c>
      <c r="H5" s="73" t="s">
        <v>164</v>
      </c>
      <c r="I5" s="73" t="s">
        <v>165</v>
      </c>
      <c r="J5" s="73" t="s">
        <v>166</v>
      </c>
      <c r="K5" s="196" t="s">
        <v>205</v>
      </c>
      <c r="L5" s="197"/>
      <c r="M5" s="198"/>
      <c r="O5" s="193" t="s">
        <v>204</v>
      </c>
      <c r="P5" s="194"/>
      <c r="Q5" s="195"/>
    </row>
    <row r="6" spans="2:17" customFormat="1" x14ac:dyDescent="0.3">
      <c r="B6" s="77">
        <v>454</v>
      </c>
      <c r="C6" s="78" t="s">
        <v>167</v>
      </c>
      <c r="D6" t="s">
        <v>168</v>
      </c>
      <c r="E6" t="s">
        <v>169</v>
      </c>
      <c r="F6" t="s">
        <v>170</v>
      </c>
      <c r="G6" t="s">
        <v>171</v>
      </c>
      <c r="H6" t="s">
        <v>172</v>
      </c>
      <c r="I6" t="s">
        <v>173</v>
      </c>
      <c r="J6" t="s">
        <v>174</v>
      </c>
    </row>
    <row r="7" spans="2:17" customFormat="1" x14ac:dyDescent="0.3">
      <c r="B7" s="77">
        <v>455</v>
      </c>
      <c r="C7" s="78" t="s">
        <v>167</v>
      </c>
      <c r="D7" t="s">
        <v>168</v>
      </c>
      <c r="E7" t="s">
        <v>169</v>
      </c>
      <c r="F7" t="s">
        <v>170</v>
      </c>
      <c r="G7" t="s">
        <v>171</v>
      </c>
      <c r="H7" t="s">
        <v>172</v>
      </c>
      <c r="I7" t="s">
        <v>174</v>
      </c>
      <c r="J7" t="s">
        <v>175</v>
      </c>
    </row>
    <row r="8" spans="2:17" customFormat="1" x14ac:dyDescent="0.3">
      <c r="B8" s="77">
        <v>456</v>
      </c>
      <c r="C8" s="78" t="s">
        <v>167</v>
      </c>
      <c r="D8" t="s">
        <v>168</v>
      </c>
      <c r="E8" t="s">
        <v>169</v>
      </c>
      <c r="F8" t="s">
        <v>170</v>
      </c>
      <c r="G8" t="s">
        <v>171</v>
      </c>
      <c r="H8" t="s">
        <v>172</v>
      </c>
      <c r="I8" t="s">
        <v>174</v>
      </c>
      <c r="J8" t="s">
        <v>176</v>
      </c>
    </row>
    <row r="9" spans="2:17" customFormat="1" x14ac:dyDescent="0.3">
      <c r="B9" s="77">
        <v>457</v>
      </c>
      <c r="C9" s="78" t="s">
        <v>167</v>
      </c>
      <c r="D9" t="s">
        <v>168</v>
      </c>
      <c r="E9" t="s">
        <v>169</v>
      </c>
      <c r="F9" t="s">
        <v>170</v>
      </c>
      <c r="G9" t="s">
        <v>171</v>
      </c>
      <c r="H9" t="s">
        <v>172</v>
      </c>
      <c r="I9" t="s">
        <v>173</v>
      </c>
      <c r="J9" t="s">
        <v>177</v>
      </c>
    </row>
    <row r="10" spans="2:17" customFormat="1" x14ac:dyDescent="0.3">
      <c r="B10" s="77">
        <v>458</v>
      </c>
      <c r="C10" s="78" t="s">
        <v>178</v>
      </c>
      <c r="D10" t="s">
        <v>168</v>
      </c>
      <c r="E10" t="s">
        <v>169</v>
      </c>
      <c r="F10" t="s">
        <v>179</v>
      </c>
      <c r="G10" t="s">
        <v>171</v>
      </c>
      <c r="H10" t="s">
        <v>172</v>
      </c>
      <c r="I10" t="s">
        <v>170</v>
      </c>
      <c r="J10" t="s">
        <v>175</v>
      </c>
    </row>
    <row r="11" spans="2:17" customFormat="1" x14ac:dyDescent="0.3">
      <c r="B11" s="77">
        <v>459</v>
      </c>
      <c r="C11" s="78" t="s">
        <v>178</v>
      </c>
      <c r="D11" t="s">
        <v>168</v>
      </c>
      <c r="E11" t="s">
        <v>169</v>
      </c>
      <c r="F11" t="s">
        <v>179</v>
      </c>
      <c r="G11" t="s">
        <v>171</v>
      </c>
      <c r="H11" t="s">
        <v>172</v>
      </c>
      <c r="I11" t="s">
        <v>170</v>
      </c>
      <c r="J11" t="s">
        <v>176</v>
      </c>
    </row>
    <row r="12" spans="2:17" customFormat="1" x14ac:dyDescent="0.3">
      <c r="B12" s="77">
        <v>460</v>
      </c>
      <c r="C12" s="78" t="s">
        <v>178</v>
      </c>
      <c r="D12" t="s">
        <v>168</v>
      </c>
      <c r="E12" t="s">
        <v>169</v>
      </c>
      <c r="F12" t="s">
        <v>179</v>
      </c>
      <c r="G12" t="s">
        <v>171</v>
      </c>
      <c r="H12" t="s">
        <v>172</v>
      </c>
      <c r="I12" t="s">
        <v>170</v>
      </c>
      <c r="J12" t="s">
        <v>174</v>
      </c>
    </row>
    <row r="13" spans="2:17" customFormat="1" x14ac:dyDescent="0.3">
      <c r="B13" s="77">
        <v>461</v>
      </c>
      <c r="C13" s="78" t="s">
        <v>180</v>
      </c>
      <c r="D13" t="s">
        <v>176</v>
      </c>
      <c r="E13" t="s">
        <v>169</v>
      </c>
      <c r="F13" t="s">
        <v>179</v>
      </c>
      <c r="G13" t="s">
        <v>171</v>
      </c>
      <c r="H13" t="s">
        <v>170</v>
      </c>
      <c r="I13" t="s">
        <v>173</v>
      </c>
      <c r="J13" t="s">
        <v>175</v>
      </c>
    </row>
    <row r="14" spans="2:17" customFormat="1" x14ac:dyDescent="0.3">
      <c r="B14" s="77">
        <v>462</v>
      </c>
      <c r="C14" s="78" t="s">
        <v>180</v>
      </c>
      <c r="D14" t="s">
        <v>174</v>
      </c>
      <c r="E14" t="s">
        <v>169</v>
      </c>
      <c r="F14" t="s">
        <v>179</v>
      </c>
      <c r="G14" t="s">
        <v>171</v>
      </c>
      <c r="H14" t="s">
        <v>170</v>
      </c>
      <c r="I14" t="s">
        <v>173</v>
      </c>
      <c r="J14" t="s">
        <v>175</v>
      </c>
    </row>
    <row r="15" spans="2:17" customFormat="1" x14ac:dyDescent="0.3">
      <c r="B15" s="77">
        <v>463</v>
      </c>
      <c r="C15" s="78" t="s">
        <v>180</v>
      </c>
      <c r="D15" t="s">
        <v>176</v>
      </c>
      <c r="E15" t="s">
        <v>169</v>
      </c>
      <c r="F15" t="s">
        <v>179</v>
      </c>
      <c r="G15" t="s">
        <v>171</v>
      </c>
      <c r="H15" t="s">
        <v>170</v>
      </c>
      <c r="I15" t="s">
        <v>173</v>
      </c>
      <c r="J15" t="s">
        <v>174</v>
      </c>
    </row>
    <row r="16" spans="2:17" customFormat="1" x14ac:dyDescent="0.3">
      <c r="B16" s="77">
        <v>464</v>
      </c>
      <c r="C16" s="78" t="s">
        <v>180</v>
      </c>
      <c r="D16" t="s">
        <v>176</v>
      </c>
      <c r="E16" t="s">
        <v>169</v>
      </c>
      <c r="F16" t="s">
        <v>179</v>
      </c>
      <c r="G16" t="s">
        <v>171</v>
      </c>
      <c r="H16" t="s">
        <v>170</v>
      </c>
      <c r="I16" t="s">
        <v>174</v>
      </c>
      <c r="J16" t="s">
        <v>175</v>
      </c>
    </row>
    <row r="17" spans="2:10" customFormat="1" x14ac:dyDescent="0.3">
      <c r="B17" s="77">
        <v>465</v>
      </c>
      <c r="C17" s="78" t="s">
        <v>178</v>
      </c>
      <c r="D17" t="s">
        <v>181</v>
      </c>
      <c r="E17" t="s">
        <v>169</v>
      </c>
      <c r="F17" t="s">
        <v>179</v>
      </c>
      <c r="G17" t="s">
        <v>171</v>
      </c>
      <c r="H17" t="s">
        <v>170</v>
      </c>
      <c r="I17" t="s">
        <v>173</v>
      </c>
      <c r="J17" t="s">
        <v>175</v>
      </c>
    </row>
    <row r="18" spans="2:10" customFormat="1" x14ac:dyDescent="0.3">
      <c r="B18" s="77">
        <v>466</v>
      </c>
      <c r="C18" s="78" t="s">
        <v>178</v>
      </c>
      <c r="D18" t="s">
        <v>176</v>
      </c>
      <c r="E18" t="s">
        <v>169</v>
      </c>
      <c r="F18" t="s">
        <v>179</v>
      </c>
      <c r="G18" t="s">
        <v>171</v>
      </c>
      <c r="H18" t="s">
        <v>170</v>
      </c>
      <c r="I18" t="s">
        <v>173</v>
      </c>
      <c r="J18" t="s">
        <v>181</v>
      </c>
    </row>
    <row r="19" spans="2:10" customFormat="1" x14ac:dyDescent="0.3">
      <c r="B19" s="77">
        <v>467</v>
      </c>
      <c r="C19" s="78" t="s">
        <v>178</v>
      </c>
      <c r="D19" t="s">
        <v>176</v>
      </c>
      <c r="E19" t="s">
        <v>169</v>
      </c>
      <c r="F19" t="s">
        <v>179</v>
      </c>
      <c r="G19" t="s">
        <v>171</v>
      </c>
      <c r="H19" t="s">
        <v>170</v>
      </c>
      <c r="I19" t="s">
        <v>181</v>
      </c>
      <c r="J19" t="s">
        <v>175</v>
      </c>
    </row>
    <row r="20" spans="2:10" customFormat="1" x14ac:dyDescent="0.3">
      <c r="B20" s="77">
        <v>468</v>
      </c>
      <c r="C20" s="78" t="s">
        <v>178</v>
      </c>
      <c r="D20" t="s">
        <v>181</v>
      </c>
      <c r="E20" t="s">
        <v>169</v>
      </c>
      <c r="F20" t="s">
        <v>179</v>
      </c>
      <c r="G20" t="s">
        <v>171</v>
      </c>
      <c r="H20" t="s">
        <v>170</v>
      </c>
      <c r="I20" t="s">
        <v>173</v>
      </c>
      <c r="J20" t="s">
        <v>174</v>
      </c>
    </row>
    <row r="21" spans="2:10" customFormat="1" x14ac:dyDescent="0.3">
      <c r="B21" s="77">
        <v>469</v>
      </c>
      <c r="C21" s="78" t="s">
        <v>178</v>
      </c>
      <c r="D21" t="s">
        <v>181</v>
      </c>
      <c r="E21" t="s">
        <v>169</v>
      </c>
      <c r="F21" t="s">
        <v>179</v>
      </c>
      <c r="G21" t="s">
        <v>171</v>
      </c>
      <c r="H21" t="s">
        <v>170</v>
      </c>
      <c r="I21" t="s">
        <v>174</v>
      </c>
      <c r="J21" t="s">
        <v>175</v>
      </c>
    </row>
    <row r="22" spans="2:10" customFormat="1" x14ac:dyDescent="0.3">
      <c r="B22" s="77">
        <v>470</v>
      </c>
      <c r="C22" s="78" t="s">
        <v>178</v>
      </c>
      <c r="D22" t="s">
        <v>176</v>
      </c>
      <c r="E22" t="s">
        <v>169</v>
      </c>
      <c r="F22" t="s">
        <v>179</v>
      </c>
      <c r="G22" t="s">
        <v>171</v>
      </c>
      <c r="H22" t="s">
        <v>170</v>
      </c>
      <c r="I22" t="s">
        <v>181</v>
      </c>
      <c r="J22" t="s">
        <v>174</v>
      </c>
    </row>
    <row r="23" spans="2:10" customFormat="1" x14ac:dyDescent="0.3">
      <c r="B23" s="77">
        <v>471</v>
      </c>
      <c r="C23" s="78" t="s">
        <v>180</v>
      </c>
      <c r="D23" t="s">
        <v>168</v>
      </c>
      <c r="E23" t="s">
        <v>169</v>
      </c>
      <c r="F23" t="s">
        <v>179</v>
      </c>
      <c r="G23" t="s">
        <v>171</v>
      </c>
      <c r="H23" t="s">
        <v>170</v>
      </c>
      <c r="I23" t="s">
        <v>173</v>
      </c>
      <c r="J23" t="s">
        <v>175</v>
      </c>
    </row>
    <row r="24" spans="2:10" customFormat="1" x14ac:dyDescent="0.3">
      <c r="B24" s="77">
        <v>472</v>
      </c>
      <c r="C24" s="78" t="s">
        <v>180</v>
      </c>
      <c r="D24" t="s">
        <v>168</v>
      </c>
      <c r="E24" t="s">
        <v>169</v>
      </c>
      <c r="F24" t="s">
        <v>179</v>
      </c>
      <c r="G24" t="s">
        <v>171</v>
      </c>
      <c r="H24" t="s">
        <v>170</v>
      </c>
      <c r="I24" t="s">
        <v>173</v>
      </c>
      <c r="J24" t="s">
        <v>176</v>
      </c>
    </row>
    <row r="25" spans="2:10" customFormat="1" x14ac:dyDescent="0.3">
      <c r="B25" s="77">
        <v>473</v>
      </c>
      <c r="C25" s="78" t="s">
        <v>180</v>
      </c>
      <c r="D25" t="s">
        <v>168</v>
      </c>
      <c r="E25" t="s">
        <v>169</v>
      </c>
      <c r="F25" t="s">
        <v>179</v>
      </c>
      <c r="G25" t="s">
        <v>171</v>
      </c>
      <c r="H25" t="s">
        <v>170</v>
      </c>
      <c r="I25" t="s">
        <v>176</v>
      </c>
      <c r="J25" t="s">
        <v>175</v>
      </c>
    </row>
    <row r="26" spans="2:10" customFormat="1" x14ac:dyDescent="0.3">
      <c r="B26" s="77">
        <v>474</v>
      </c>
      <c r="C26" s="78" t="s">
        <v>180</v>
      </c>
      <c r="D26" t="s">
        <v>168</v>
      </c>
      <c r="E26" t="s">
        <v>169</v>
      </c>
      <c r="F26" t="s">
        <v>179</v>
      </c>
      <c r="G26" t="s">
        <v>171</v>
      </c>
      <c r="H26" t="s">
        <v>170</v>
      </c>
      <c r="I26" t="s">
        <v>173</v>
      </c>
      <c r="J26" t="s">
        <v>174</v>
      </c>
    </row>
    <row r="27" spans="2:10" customFormat="1" x14ac:dyDescent="0.3">
      <c r="B27" s="77">
        <v>475</v>
      </c>
      <c r="C27" s="78" t="s">
        <v>180</v>
      </c>
      <c r="D27" t="s">
        <v>168</v>
      </c>
      <c r="E27" t="s">
        <v>169</v>
      </c>
      <c r="F27" t="s">
        <v>179</v>
      </c>
      <c r="G27" t="s">
        <v>171</v>
      </c>
      <c r="H27" t="s">
        <v>170</v>
      </c>
      <c r="I27" t="s">
        <v>174</v>
      </c>
      <c r="J27" t="s">
        <v>175</v>
      </c>
    </row>
    <row r="28" spans="2:10" customFormat="1" x14ac:dyDescent="0.3">
      <c r="B28" s="77">
        <v>476</v>
      </c>
      <c r="C28" s="78" t="s">
        <v>180</v>
      </c>
      <c r="D28" t="s">
        <v>168</v>
      </c>
      <c r="E28" t="s">
        <v>169</v>
      </c>
      <c r="F28" t="s">
        <v>179</v>
      </c>
      <c r="G28" t="s">
        <v>171</v>
      </c>
      <c r="H28" t="s">
        <v>170</v>
      </c>
      <c r="I28" t="s">
        <v>174</v>
      </c>
      <c r="J28" t="s">
        <v>176</v>
      </c>
    </row>
    <row r="29" spans="2:10" customFormat="1" x14ac:dyDescent="0.3">
      <c r="B29" s="77">
        <v>477</v>
      </c>
      <c r="C29" s="78" t="s">
        <v>178</v>
      </c>
      <c r="D29" t="s">
        <v>168</v>
      </c>
      <c r="E29" t="s">
        <v>169</v>
      </c>
      <c r="F29" t="s">
        <v>179</v>
      </c>
      <c r="G29" t="s">
        <v>171</v>
      </c>
      <c r="H29" t="s">
        <v>170</v>
      </c>
      <c r="I29" t="s">
        <v>173</v>
      </c>
      <c r="J29" t="s">
        <v>181</v>
      </c>
    </row>
    <row r="30" spans="2:10" customFormat="1" x14ac:dyDescent="0.3">
      <c r="B30" s="77">
        <v>478</v>
      </c>
      <c r="C30" s="78" t="s">
        <v>178</v>
      </c>
      <c r="D30" t="s">
        <v>168</v>
      </c>
      <c r="E30" t="s">
        <v>169</v>
      </c>
      <c r="F30" t="s">
        <v>179</v>
      </c>
      <c r="G30" t="s">
        <v>171</v>
      </c>
      <c r="H30" t="s">
        <v>170</v>
      </c>
      <c r="I30" t="s">
        <v>181</v>
      </c>
      <c r="J30" t="s">
        <v>175</v>
      </c>
    </row>
    <row r="31" spans="2:10" customFormat="1" x14ac:dyDescent="0.3">
      <c r="B31" s="77">
        <v>479</v>
      </c>
      <c r="C31" s="78" t="s">
        <v>178</v>
      </c>
      <c r="D31" t="s">
        <v>168</v>
      </c>
      <c r="E31" t="s">
        <v>169</v>
      </c>
      <c r="F31" t="s">
        <v>179</v>
      </c>
      <c r="G31" t="s">
        <v>171</v>
      </c>
      <c r="H31" t="s">
        <v>170</v>
      </c>
      <c r="I31" t="s">
        <v>181</v>
      </c>
      <c r="J31" t="s">
        <v>176</v>
      </c>
    </row>
    <row r="32" spans="2:10" customFormat="1" x14ac:dyDescent="0.3">
      <c r="B32" s="77">
        <v>480</v>
      </c>
      <c r="C32" s="78" t="s">
        <v>178</v>
      </c>
      <c r="D32" t="s">
        <v>168</v>
      </c>
      <c r="E32" t="s">
        <v>169</v>
      </c>
      <c r="F32" t="s">
        <v>179</v>
      </c>
      <c r="G32" t="s">
        <v>171</v>
      </c>
      <c r="H32" t="s">
        <v>170</v>
      </c>
      <c r="I32" t="s">
        <v>181</v>
      </c>
      <c r="J32" t="s">
        <v>174</v>
      </c>
    </row>
    <row r="33" spans="2:10" customFormat="1" x14ac:dyDescent="0.3">
      <c r="B33" s="77">
        <v>481</v>
      </c>
      <c r="C33" s="78" t="s">
        <v>167</v>
      </c>
      <c r="D33" t="s">
        <v>181</v>
      </c>
      <c r="E33" t="s">
        <v>169</v>
      </c>
      <c r="F33" t="s">
        <v>170</v>
      </c>
      <c r="G33" t="s">
        <v>171</v>
      </c>
      <c r="H33" t="s">
        <v>172</v>
      </c>
      <c r="I33" t="s">
        <v>173</v>
      </c>
      <c r="J33" t="s">
        <v>175</v>
      </c>
    </row>
    <row r="34" spans="2:10" customFormat="1" x14ac:dyDescent="0.3">
      <c r="B34" s="77">
        <v>482</v>
      </c>
      <c r="C34" s="78" t="s">
        <v>167</v>
      </c>
      <c r="D34" t="s">
        <v>176</v>
      </c>
      <c r="E34" t="s">
        <v>169</v>
      </c>
      <c r="F34" t="s">
        <v>170</v>
      </c>
      <c r="G34" t="s">
        <v>171</v>
      </c>
      <c r="H34" t="s">
        <v>172</v>
      </c>
      <c r="I34" t="s">
        <v>173</v>
      </c>
      <c r="J34" t="s">
        <v>181</v>
      </c>
    </row>
    <row r="35" spans="2:10" customFormat="1" x14ac:dyDescent="0.3">
      <c r="B35" s="77">
        <v>483</v>
      </c>
      <c r="C35" s="78" t="s">
        <v>167</v>
      </c>
      <c r="D35" t="s">
        <v>176</v>
      </c>
      <c r="E35" t="s">
        <v>169</v>
      </c>
      <c r="F35" t="s">
        <v>170</v>
      </c>
      <c r="G35" t="s">
        <v>171</v>
      </c>
      <c r="H35" t="s">
        <v>172</v>
      </c>
      <c r="I35" t="s">
        <v>181</v>
      </c>
      <c r="J35" t="s">
        <v>175</v>
      </c>
    </row>
    <row r="36" spans="2:10" customFormat="1" x14ac:dyDescent="0.3">
      <c r="B36" s="77">
        <v>484</v>
      </c>
      <c r="C36" s="78" t="s">
        <v>167</v>
      </c>
      <c r="D36" t="s">
        <v>181</v>
      </c>
      <c r="E36" t="s">
        <v>169</v>
      </c>
      <c r="F36" t="s">
        <v>170</v>
      </c>
      <c r="G36" t="s">
        <v>171</v>
      </c>
      <c r="H36" t="s">
        <v>172</v>
      </c>
      <c r="I36" t="s">
        <v>173</v>
      </c>
      <c r="J36" t="s">
        <v>174</v>
      </c>
    </row>
    <row r="37" spans="2:10" customFormat="1" x14ac:dyDescent="0.3">
      <c r="B37" s="77">
        <v>485</v>
      </c>
      <c r="C37" s="78" t="s">
        <v>167</v>
      </c>
      <c r="D37" t="s">
        <v>181</v>
      </c>
      <c r="E37" t="s">
        <v>169</v>
      </c>
      <c r="F37" t="s">
        <v>170</v>
      </c>
      <c r="G37" t="s">
        <v>171</v>
      </c>
      <c r="H37" t="s">
        <v>172</v>
      </c>
      <c r="I37" t="s">
        <v>174</v>
      </c>
      <c r="J37" t="s">
        <v>175</v>
      </c>
    </row>
    <row r="38" spans="2:10" customFormat="1" x14ac:dyDescent="0.3">
      <c r="B38" s="77">
        <v>486</v>
      </c>
      <c r="C38" s="78" t="s">
        <v>167</v>
      </c>
      <c r="D38" t="s">
        <v>176</v>
      </c>
      <c r="E38" t="s">
        <v>169</v>
      </c>
      <c r="F38" t="s">
        <v>170</v>
      </c>
      <c r="G38" t="s">
        <v>171</v>
      </c>
      <c r="H38" t="s">
        <v>172</v>
      </c>
      <c r="I38" t="s">
        <v>181</v>
      </c>
      <c r="J38" t="s">
        <v>174</v>
      </c>
    </row>
    <row r="39" spans="2:10" customFormat="1" x14ac:dyDescent="0.3">
      <c r="B39" s="77">
        <v>487</v>
      </c>
      <c r="C39" s="78" t="s">
        <v>178</v>
      </c>
      <c r="D39" t="s">
        <v>172</v>
      </c>
      <c r="E39" t="s">
        <v>169</v>
      </c>
      <c r="F39" t="s">
        <v>179</v>
      </c>
      <c r="G39" t="s">
        <v>171</v>
      </c>
      <c r="H39" t="s">
        <v>170</v>
      </c>
      <c r="I39" t="s">
        <v>173</v>
      </c>
      <c r="J39" t="s">
        <v>181</v>
      </c>
    </row>
    <row r="40" spans="2:10" customFormat="1" x14ac:dyDescent="0.3">
      <c r="B40" s="77">
        <v>488</v>
      </c>
      <c r="C40" s="78" t="s">
        <v>178</v>
      </c>
      <c r="D40" t="s">
        <v>181</v>
      </c>
      <c r="E40" t="s">
        <v>169</v>
      </c>
      <c r="F40" t="s">
        <v>179</v>
      </c>
      <c r="G40" t="s">
        <v>171</v>
      </c>
      <c r="H40" t="s">
        <v>172</v>
      </c>
      <c r="I40" t="s">
        <v>170</v>
      </c>
      <c r="J40" t="s">
        <v>175</v>
      </c>
    </row>
    <row r="41" spans="2:10" customFormat="1" x14ac:dyDescent="0.3">
      <c r="B41" s="77">
        <v>489</v>
      </c>
      <c r="C41" s="78" t="s">
        <v>178</v>
      </c>
      <c r="D41" t="s">
        <v>176</v>
      </c>
      <c r="E41" t="s">
        <v>169</v>
      </c>
      <c r="F41" t="s">
        <v>179</v>
      </c>
      <c r="G41" t="s">
        <v>171</v>
      </c>
      <c r="H41" t="s">
        <v>172</v>
      </c>
      <c r="I41" t="s">
        <v>170</v>
      </c>
      <c r="J41" t="s">
        <v>181</v>
      </c>
    </row>
    <row r="42" spans="2:10" customFormat="1" x14ac:dyDescent="0.3">
      <c r="B42" s="77">
        <v>490</v>
      </c>
      <c r="C42" s="78" t="s">
        <v>178</v>
      </c>
      <c r="D42" t="s">
        <v>181</v>
      </c>
      <c r="E42" t="s">
        <v>169</v>
      </c>
      <c r="F42" t="s">
        <v>179</v>
      </c>
      <c r="G42" t="s">
        <v>171</v>
      </c>
      <c r="H42" t="s">
        <v>172</v>
      </c>
      <c r="I42" t="s">
        <v>170</v>
      </c>
      <c r="J42" t="s">
        <v>174</v>
      </c>
    </row>
    <row r="43" spans="2:10" customFormat="1" x14ac:dyDescent="0.3">
      <c r="B43" s="77">
        <v>491</v>
      </c>
      <c r="C43" s="78" t="s">
        <v>167</v>
      </c>
      <c r="D43" t="s">
        <v>168</v>
      </c>
      <c r="E43" t="s">
        <v>169</v>
      </c>
      <c r="F43" t="s">
        <v>170</v>
      </c>
      <c r="G43" t="s">
        <v>171</v>
      </c>
      <c r="H43" t="s">
        <v>172</v>
      </c>
      <c r="I43" t="s">
        <v>173</v>
      </c>
      <c r="J43" t="s">
        <v>181</v>
      </c>
    </row>
    <row r="44" spans="2:10" customFormat="1" x14ac:dyDescent="0.3">
      <c r="B44" s="77">
        <v>492</v>
      </c>
      <c r="C44" s="78" t="s">
        <v>167</v>
      </c>
      <c r="D44" t="s">
        <v>168</v>
      </c>
      <c r="E44" t="s">
        <v>169</v>
      </c>
      <c r="F44" t="s">
        <v>170</v>
      </c>
      <c r="G44" t="s">
        <v>171</v>
      </c>
      <c r="H44" t="s">
        <v>172</v>
      </c>
      <c r="I44" t="s">
        <v>181</v>
      </c>
      <c r="J44" t="s">
        <v>175</v>
      </c>
    </row>
    <row r="45" spans="2:10" customFormat="1" x14ac:dyDescent="0.3">
      <c r="B45" s="77">
        <v>493</v>
      </c>
      <c r="C45" s="78" t="s">
        <v>167</v>
      </c>
      <c r="D45" t="s">
        <v>168</v>
      </c>
      <c r="E45" t="s">
        <v>169</v>
      </c>
      <c r="F45" t="s">
        <v>170</v>
      </c>
      <c r="G45" t="s">
        <v>171</v>
      </c>
      <c r="H45" t="s">
        <v>172</v>
      </c>
      <c r="I45" t="s">
        <v>181</v>
      </c>
      <c r="J45" t="s">
        <v>176</v>
      </c>
    </row>
    <row r="46" spans="2:10" customFormat="1" x14ac:dyDescent="0.3">
      <c r="B46" s="77">
        <v>494</v>
      </c>
      <c r="C46" s="78" t="s">
        <v>167</v>
      </c>
      <c r="D46" t="s">
        <v>168</v>
      </c>
      <c r="E46" t="s">
        <v>169</v>
      </c>
      <c r="F46" t="s">
        <v>170</v>
      </c>
      <c r="G46" t="s">
        <v>171</v>
      </c>
      <c r="H46" t="s">
        <v>172</v>
      </c>
      <c r="I46" t="s">
        <v>181</v>
      </c>
      <c r="J46" t="s">
        <v>174</v>
      </c>
    </row>
    <row r="47" spans="2:10" customFormat="1" x14ac:dyDescent="0.3">
      <c r="B47" s="77">
        <v>495</v>
      </c>
      <c r="C47" s="78" t="s">
        <v>178</v>
      </c>
      <c r="D47" t="s">
        <v>168</v>
      </c>
      <c r="E47" t="s">
        <v>169</v>
      </c>
      <c r="F47" t="s">
        <v>179</v>
      </c>
      <c r="G47" t="s">
        <v>171</v>
      </c>
      <c r="H47" t="s">
        <v>172</v>
      </c>
      <c r="I47" t="s">
        <v>170</v>
      </c>
      <c r="J47" t="s">
        <v>181</v>
      </c>
    </row>
    <row r="48" spans="2:10" customFormat="1" x14ac:dyDescent="0.3">
      <c r="B48" s="77">
        <v>396</v>
      </c>
      <c r="C48" s="78" t="s">
        <v>180</v>
      </c>
      <c r="D48" t="s">
        <v>176</v>
      </c>
      <c r="E48" t="s">
        <v>169</v>
      </c>
      <c r="F48" t="s">
        <v>179</v>
      </c>
      <c r="G48" t="s">
        <v>171</v>
      </c>
      <c r="H48" t="s">
        <v>168</v>
      </c>
      <c r="I48" t="s">
        <v>173</v>
      </c>
      <c r="J48" t="s">
        <v>175</v>
      </c>
    </row>
    <row r="49" spans="2:10" customFormat="1" x14ac:dyDescent="0.3">
      <c r="B49" s="77">
        <v>397</v>
      </c>
      <c r="C49" s="78" t="s">
        <v>180</v>
      </c>
      <c r="D49" t="s">
        <v>168</v>
      </c>
      <c r="E49" t="s">
        <v>169</v>
      </c>
      <c r="F49" t="s">
        <v>171</v>
      </c>
      <c r="G49" t="s">
        <v>174</v>
      </c>
      <c r="H49" t="s">
        <v>179</v>
      </c>
      <c r="I49" t="s">
        <v>173</v>
      </c>
      <c r="J49" t="s">
        <v>175</v>
      </c>
    </row>
    <row r="50" spans="2:10" customFormat="1" x14ac:dyDescent="0.3">
      <c r="B50" s="77">
        <v>398</v>
      </c>
      <c r="C50" s="78" t="s">
        <v>180</v>
      </c>
      <c r="D50" t="s">
        <v>176</v>
      </c>
      <c r="E50" t="s">
        <v>169</v>
      </c>
      <c r="F50" t="s">
        <v>179</v>
      </c>
      <c r="G50" t="s">
        <v>171</v>
      </c>
      <c r="H50" t="s">
        <v>168</v>
      </c>
      <c r="I50" t="s">
        <v>173</v>
      </c>
      <c r="J50" t="s">
        <v>174</v>
      </c>
    </row>
    <row r="51" spans="2:10" customFormat="1" x14ac:dyDescent="0.3">
      <c r="B51" s="77">
        <v>399</v>
      </c>
      <c r="C51" s="78" t="s">
        <v>180</v>
      </c>
      <c r="D51" t="s">
        <v>176</v>
      </c>
      <c r="E51" t="s">
        <v>169</v>
      </c>
      <c r="F51" t="s">
        <v>179</v>
      </c>
      <c r="G51" t="s">
        <v>171</v>
      </c>
      <c r="H51" t="s">
        <v>168</v>
      </c>
      <c r="I51" t="s">
        <v>174</v>
      </c>
      <c r="J51" t="s">
        <v>175</v>
      </c>
    </row>
    <row r="52" spans="2:10" customFormat="1" x14ac:dyDescent="0.3">
      <c r="B52" s="77">
        <v>400</v>
      </c>
      <c r="C52" s="78" t="s">
        <v>180</v>
      </c>
      <c r="D52" t="s">
        <v>168</v>
      </c>
      <c r="E52" t="s">
        <v>169</v>
      </c>
      <c r="F52" t="s">
        <v>179</v>
      </c>
      <c r="G52" t="s">
        <v>171</v>
      </c>
      <c r="H52" t="s">
        <v>177</v>
      </c>
      <c r="I52" t="s">
        <v>173</v>
      </c>
      <c r="J52" t="s">
        <v>175</v>
      </c>
    </row>
    <row r="53" spans="2:10" customFormat="1" x14ac:dyDescent="0.3">
      <c r="B53" s="77">
        <v>401</v>
      </c>
      <c r="C53" s="78" t="s">
        <v>178</v>
      </c>
      <c r="D53" t="s">
        <v>176</v>
      </c>
      <c r="E53" t="s">
        <v>169</v>
      </c>
      <c r="F53" t="s">
        <v>179</v>
      </c>
      <c r="G53" t="s">
        <v>171</v>
      </c>
      <c r="H53" t="s">
        <v>168</v>
      </c>
      <c r="I53" t="s">
        <v>173</v>
      </c>
      <c r="J53" t="s">
        <v>181</v>
      </c>
    </row>
    <row r="54" spans="2:10" customFormat="1" x14ac:dyDescent="0.3">
      <c r="B54" s="77">
        <v>402</v>
      </c>
      <c r="C54" s="78" t="s">
        <v>178</v>
      </c>
      <c r="D54" t="s">
        <v>176</v>
      </c>
      <c r="E54" t="s">
        <v>169</v>
      </c>
      <c r="F54" t="s">
        <v>179</v>
      </c>
      <c r="G54" t="s">
        <v>171</v>
      </c>
      <c r="H54" t="s">
        <v>168</v>
      </c>
      <c r="I54" t="s">
        <v>181</v>
      </c>
      <c r="J54" t="s">
        <v>175</v>
      </c>
    </row>
    <row r="55" spans="2:10" customFormat="1" x14ac:dyDescent="0.3">
      <c r="B55" s="77">
        <v>403</v>
      </c>
      <c r="C55" s="78" t="s">
        <v>180</v>
      </c>
      <c r="D55" t="s">
        <v>168</v>
      </c>
      <c r="E55" t="s">
        <v>169</v>
      </c>
      <c r="F55" t="s">
        <v>179</v>
      </c>
      <c r="G55" t="s">
        <v>171</v>
      </c>
      <c r="H55" t="s">
        <v>177</v>
      </c>
      <c r="I55" t="s">
        <v>173</v>
      </c>
      <c r="J55" t="s">
        <v>174</v>
      </c>
    </row>
    <row r="56" spans="2:10" customFormat="1" x14ac:dyDescent="0.3">
      <c r="B56" s="77">
        <v>404</v>
      </c>
      <c r="C56" s="78" t="s">
        <v>180</v>
      </c>
      <c r="D56" t="s">
        <v>168</v>
      </c>
      <c r="E56" t="s">
        <v>169</v>
      </c>
      <c r="F56" t="s">
        <v>179</v>
      </c>
      <c r="G56" t="s">
        <v>171</v>
      </c>
      <c r="H56" t="s">
        <v>177</v>
      </c>
      <c r="I56" t="s">
        <v>174</v>
      </c>
      <c r="J56" t="s">
        <v>175</v>
      </c>
    </row>
    <row r="57" spans="2:10" customFormat="1" x14ac:dyDescent="0.3">
      <c r="B57" s="77">
        <v>405</v>
      </c>
      <c r="C57" s="78" t="s">
        <v>178</v>
      </c>
      <c r="D57" t="s">
        <v>176</v>
      </c>
      <c r="E57" t="s">
        <v>169</v>
      </c>
      <c r="F57" t="s">
        <v>179</v>
      </c>
      <c r="G57" t="s">
        <v>171</v>
      </c>
      <c r="H57" t="s">
        <v>168</v>
      </c>
      <c r="I57" t="s">
        <v>181</v>
      </c>
      <c r="J57" t="s">
        <v>174</v>
      </c>
    </row>
    <row r="58" spans="2:10" customFormat="1" x14ac:dyDescent="0.3">
      <c r="B58" s="77">
        <v>406</v>
      </c>
      <c r="C58" s="78" t="s">
        <v>180</v>
      </c>
      <c r="D58" t="s">
        <v>176</v>
      </c>
      <c r="E58" t="s">
        <v>169</v>
      </c>
      <c r="F58" t="s">
        <v>179</v>
      </c>
      <c r="G58" t="s">
        <v>171</v>
      </c>
      <c r="H58" t="s">
        <v>172</v>
      </c>
      <c r="I58" t="s">
        <v>173</v>
      </c>
      <c r="J58" t="s">
        <v>175</v>
      </c>
    </row>
    <row r="59" spans="2:10" customFormat="1" x14ac:dyDescent="0.3">
      <c r="B59" s="77">
        <v>407</v>
      </c>
      <c r="C59" s="78" t="s">
        <v>180</v>
      </c>
      <c r="D59" t="s">
        <v>174</v>
      </c>
      <c r="E59" t="s">
        <v>169</v>
      </c>
      <c r="F59" t="s">
        <v>179</v>
      </c>
      <c r="G59" t="s">
        <v>171</v>
      </c>
      <c r="H59" t="s">
        <v>172</v>
      </c>
      <c r="I59" t="s">
        <v>173</v>
      </c>
      <c r="J59" t="s">
        <v>175</v>
      </c>
    </row>
    <row r="60" spans="2:10" customFormat="1" x14ac:dyDescent="0.3">
      <c r="B60" s="77">
        <v>408</v>
      </c>
      <c r="C60" s="78" t="s">
        <v>180</v>
      </c>
      <c r="D60" t="s">
        <v>176</v>
      </c>
      <c r="E60" t="s">
        <v>169</v>
      </c>
      <c r="F60" t="s">
        <v>179</v>
      </c>
      <c r="G60" t="s">
        <v>171</v>
      </c>
      <c r="H60" t="s">
        <v>172</v>
      </c>
      <c r="I60" t="s">
        <v>173</v>
      </c>
      <c r="J60" t="s">
        <v>174</v>
      </c>
    </row>
    <row r="61" spans="2:10" customFormat="1" x14ac:dyDescent="0.3">
      <c r="B61" s="77">
        <v>409</v>
      </c>
      <c r="C61" s="78" t="s">
        <v>180</v>
      </c>
      <c r="D61" t="s">
        <v>176</v>
      </c>
      <c r="E61" t="s">
        <v>169</v>
      </c>
      <c r="F61" t="s">
        <v>179</v>
      </c>
      <c r="G61" t="s">
        <v>171</v>
      </c>
      <c r="H61" t="s">
        <v>172</v>
      </c>
      <c r="I61" t="s">
        <v>174</v>
      </c>
      <c r="J61" t="s">
        <v>175</v>
      </c>
    </row>
    <row r="62" spans="2:10" customFormat="1" x14ac:dyDescent="0.3">
      <c r="B62" s="77">
        <v>410</v>
      </c>
      <c r="C62" s="78" t="s">
        <v>178</v>
      </c>
      <c r="D62" t="s">
        <v>181</v>
      </c>
      <c r="E62" t="s">
        <v>169</v>
      </c>
      <c r="F62" t="s">
        <v>179</v>
      </c>
      <c r="G62" t="s">
        <v>171</v>
      </c>
      <c r="H62" t="s">
        <v>172</v>
      </c>
      <c r="I62" t="s">
        <v>173</v>
      </c>
      <c r="J62" t="s">
        <v>175</v>
      </c>
    </row>
    <row r="63" spans="2:10" customFormat="1" x14ac:dyDescent="0.3">
      <c r="B63" s="77">
        <v>411</v>
      </c>
      <c r="C63" s="78" t="s">
        <v>178</v>
      </c>
      <c r="D63" t="s">
        <v>176</v>
      </c>
      <c r="E63" t="s">
        <v>169</v>
      </c>
      <c r="F63" t="s">
        <v>179</v>
      </c>
      <c r="G63" t="s">
        <v>171</v>
      </c>
      <c r="H63" t="s">
        <v>172</v>
      </c>
      <c r="I63" t="s">
        <v>173</v>
      </c>
      <c r="J63" t="s">
        <v>181</v>
      </c>
    </row>
    <row r="64" spans="2:10" customFormat="1" x14ac:dyDescent="0.3">
      <c r="B64" s="77">
        <v>412</v>
      </c>
      <c r="C64" s="78" t="s">
        <v>178</v>
      </c>
      <c r="D64" t="s">
        <v>176</v>
      </c>
      <c r="E64" t="s">
        <v>169</v>
      </c>
      <c r="F64" t="s">
        <v>179</v>
      </c>
      <c r="G64" t="s">
        <v>171</v>
      </c>
      <c r="H64" t="s">
        <v>172</v>
      </c>
      <c r="I64" t="s">
        <v>181</v>
      </c>
      <c r="J64" t="s">
        <v>175</v>
      </c>
    </row>
    <row r="65" spans="2:10" customFormat="1" x14ac:dyDescent="0.3">
      <c r="B65" s="77">
        <v>413</v>
      </c>
      <c r="C65" s="78" t="s">
        <v>178</v>
      </c>
      <c r="D65" t="s">
        <v>181</v>
      </c>
      <c r="E65" t="s">
        <v>169</v>
      </c>
      <c r="F65" t="s">
        <v>179</v>
      </c>
      <c r="G65" t="s">
        <v>171</v>
      </c>
      <c r="H65" t="s">
        <v>172</v>
      </c>
      <c r="I65" t="s">
        <v>173</v>
      </c>
      <c r="J65" t="s">
        <v>174</v>
      </c>
    </row>
    <row r="66" spans="2:10" customFormat="1" x14ac:dyDescent="0.3">
      <c r="B66" s="77">
        <v>414</v>
      </c>
      <c r="C66" s="78" t="s">
        <v>178</v>
      </c>
      <c r="D66" t="s">
        <v>181</v>
      </c>
      <c r="E66" t="s">
        <v>169</v>
      </c>
      <c r="F66" t="s">
        <v>179</v>
      </c>
      <c r="G66" t="s">
        <v>171</v>
      </c>
      <c r="H66" t="s">
        <v>172</v>
      </c>
      <c r="I66" t="s">
        <v>174</v>
      </c>
      <c r="J66" t="s">
        <v>175</v>
      </c>
    </row>
    <row r="67" spans="2:10" customFormat="1" x14ac:dyDescent="0.3">
      <c r="B67" s="77">
        <v>415</v>
      </c>
      <c r="C67" s="78" t="s">
        <v>178</v>
      </c>
      <c r="D67" t="s">
        <v>176</v>
      </c>
      <c r="E67" t="s">
        <v>169</v>
      </c>
      <c r="F67" t="s">
        <v>179</v>
      </c>
      <c r="G67" t="s">
        <v>171</v>
      </c>
      <c r="H67" t="s">
        <v>172</v>
      </c>
      <c r="I67" t="s">
        <v>181</v>
      </c>
      <c r="J67" t="s">
        <v>174</v>
      </c>
    </row>
    <row r="68" spans="2:10" customFormat="1" x14ac:dyDescent="0.3">
      <c r="B68" s="77">
        <v>416</v>
      </c>
      <c r="C68" s="78" t="s">
        <v>180</v>
      </c>
      <c r="D68" t="s">
        <v>168</v>
      </c>
      <c r="E68" t="s">
        <v>169</v>
      </c>
      <c r="F68" t="s">
        <v>179</v>
      </c>
      <c r="G68" t="s">
        <v>171</v>
      </c>
      <c r="H68" t="s">
        <v>172</v>
      </c>
      <c r="I68" t="s">
        <v>173</v>
      </c>
      <c r="J68" t="s">
        <v>175</v>
      </c>
    </row>
    <row r="69" spans="2:10" customFormat="1" x14ac:dyDescent="0.3">
      <c r="B69" s="77">
        <v>417</v>
      </c>
      <c r="C69" s="78" t="s">
        <v>180</v>
      </c>
      <c r="D69" t="s">
        <v>168</v>
      </c>
      <c r="E69" t="s">
        <v>169</v>
      </c>
      <c r="F69" t="s">
        <v>179</v>
      </c>
      <c r="G69" t="s">
        <v>171</v>
      </c>
      <c r="H69" t="s">
        <v>172</v>
      </c>
      <c r="I69" t="s">
        <v>173</v>
      </c>
      <c r="J69" t="s">
        <v>176</v>
      </c>
    </row>
    <row r="70" spans="2:10" customFormat="1" x14ac:dyDescent="0.3">
      <c r="B70" s="77">
        <v>418</v>
      </c>
      <c r="C70" s="78" t="s">
        <v>180</v>
      </c>
      <c r="D70" t="s">
        <v>168</v>
      </c>
      <c r="E70" t="s">
        <v>169</v>
      </c>
      <c r="F70" t="s">
        <v>179</v>
      </c>
      <c r="G70" t="s">
        <v>171</v>
      </c>
      <c r="H70" t="s">
        <v>172</v>
      </c>
      <c r="I70" t="s">
        <v>176</v>
      </c>
      <c r="J70" t="s">
        <v>175</v>
      </c>
    </row>
    <row r="71" spans="2:10" customFormat="1" x14ac:dyDescent="0.3">
      <c r="B71" s="77">
        <v>419</v>
      </c>
      <c r="C71" s="78" t="s">
        <v>180</v>
      </c>
      <c r="D71" t="s">
        <v>168</v>
      </c>
      <c r="E71" t="s">
        <v>169</v>
      </c>
      <c r="F71" t="s">
        <v>179</v>
      </c>
      <c r="G71" t="s">
        <v>171</v>
      </c>
      <c r="H71" t="s">
        <v>172</v>
      </c>
      <c r="I71" t="s">
        <v>173</v>
      </c>
      <c r="J71" t="s">
        <v>174</v>
      </c>
    </row>
    <row r="72" spans="2:10" customFormat="1" x14ac:dyDescent="0.3">
      <c r="B72" s="77">
        <v>420</v>
      </c>
      <c r="C72" s="78" t="s">
        <v>180</v>
      </c>
      <c r="D72" t="s">
        <v>168</v>
      </c>
      <c r="E72" t="s">
        <v>169</v>
      </c>
      <c r="F72" t="s">
        <v>179</v>
      </c>
      <c r="G72" t="s">
        <v>171</v>
      </c>
      <c r="H72" t="s">
        <v>172</v>
      </c>
      <c r="I72" t="s">
        <v>174</v>
      </c>
      <c r="J72" t="s">
        <v>175</v>
      </c>
    </row>
    <row r="73" spans="2:10" customFormat="1" x14ac:dyDescent="0.3">
      <c r="B73" s="77">
        <v>421</v>
      </c>
      <c r="C73" s="78" t="s">
        <v>180</v>
      </c>
      <c r="D73" t="s">
        <v>168</v>
      </c>
      <c r="E73" t="s">
        <v>169</v>
      </c>
      <c r="F73" t="s">
        <v>179</v>
      </c>
      <c r="G73" t="s">
        <v>171</v>
      </c>
      <c r="H73" t="s">
        <v>172</v>
      </c>
      <c r="I73" t="s">
        <v>174</v>
      </c>
      <c r="J73" t="s">
        <v>176</v>
      </c>
    </row>
    <row r="74" spans="2:10" customFormat="1" x14ac:dyDescent="0.3">
      <c r="B74" s="77">
        <v>422</v>
      </c>
      <c r="C74" s="78" t="s">
        <v>178</v>
      </c>
      <c r="D74" t="s">
        <v>168</v>
      </c>
      <c r="E74" t="s">
        <v>169</v>
      </c>
      <c r="F74" t="s">
        <v>179</v>
      </c>
      <c r="G74" t="s">
        <v>171</v>
      </c>
      <c r="H74" t="s">
        <v>172</v>
      </c>
      <c r="I74" t="s">
        <v>173</v>
      </c>
      <c r="J74" t="s">
        <v>181</v>
      </c>
    </row>
    <row r="75" spans="2:10" customFormat="1" x14ac:dyDescent="0.3">
      <c r="B75" s="77">
        <v>423</v>
      </c>
      <c r="C75" s="78" t="s">
        <v>178</v>
      </c>
      <c r="D75" t="s">
        <v>168</v>
      </c>
      <c r="E75" t="s">
        <v>169</v>
      </c>
      <c r="F75" t="s">
        <v>179</v>
      </c>
      <c r="G75" t="s">
        <v>171</v>
      </c>
      <c r="H75" t="s">
        <v>172</v>
      </c>
      <c r="I75" t="s">
        <v>181</v>
      </c>
      <c r="J75" t="s">
        <v>175</v>
      </c>
    </row>
    <row r="76" spans="2:10" customFormat="1" x14ac:dyDescent="0.3">
      <c r="B76" s="77">
        <v>424</v>
      </c>
      <c r="C76" s="78" t="s">
        <v>178</v>
      </c>
      <c r="D76" t="s">
        <v>168</v>
      </c>
      <c r="E76" t="s">
        <v>169</v>
      </c>
      <c r="F76" t="s">
        <v>179</v>
      </c>
      <c r="G76" t="s">
        <v>171</v>
      </c>
      <c r="H76" t="s">
        <v>172</v>
      </c>
      <c r="I76" t="s">
        <v>181</v>
      </c>
      <c r="J76" t="s">
        <v>176</v>
      </c>
    </row>
    <row r="77" spans="2:10" customFormat="1" x14ac:dyDescent="0.3">
      <c r="B77" s="77">
        <v>425</v>
      </c>
      <c r="C77" s="78" t="s">
        <v>178</v>
      </c>
      <c r="D77" t="s">
        <v>168</v>
      </c>
      <c r="E77" t="s">
        <v>169</v>
      </c>
      <c r="F77" t="s">
        <v>179</v>
      </c>
      <c r="G77" t="s">
        <v>171</v>
      </c>
      <c r="H77" t="s">
        <v>172</v>
      </c>
      <c r="I77" t="s">
        <v>181</v>
      </c>
      <c r="J77" t="s">
        <v>174</v>
      </c>
    </row>
    <row r="78" spans="2:10" customFormat="1" x14ac:dyDescent="0.3">
      <c r="B78" s="77">
        <v>426</v>
      </c>
      <c r="C78" s="78" t="s">
        <v>182</v>
      </c>
      <c r="D78" t="s">
        <v>176</v>
      </c>
      <c r="E78" t="s">
        <v>169</v>
      </c>
      <c r="F78" t="s">
        <v>179</v>
      </c>
      <c r="G78" t="s">
        <v>171</v>
      </c>
      <c r="H78" t="s">
        <v>170</v>
      </c>
      <c r="I78" t="s">
        <v>173</v>
      </c>
      <c r="J78" t="s">
        <v>175</v>
      </c>
    </row>
    <row r="79" spans="2:10" customFormat="1" x14ac:dyDescent="0.3">
      <c r="B79" s="77">
        <v>427</v>
      </c>
      <c r="C79" s="78" t="s">
        <v>178</v>
      </c>
      <c r="D79" t="s">
        <v>176</v>
      </c>
      <c r="E79" t="s">
        <v>169</v>
      </c>
      <c r="F79" t="s">
        <v>179</v>
      </c>
      <c r="G79" t="s">
        <v>171</v>
      </c>
      <c r="H79" t="s">
        <v>170</v>
      </c>
      <c r="I79" t="s">
        <v>173</v>
      </c>
      <c r="J79" t="s">
        <v>175</v>
      </c>
    </row>
    <row r="80" spans="2:10" customFormat="1" x14ac:dyDescent="0.3">
      <c r="B80" s="77">
        <v>428</v>
      </c>
      <c r="C80" s="78" t="s">
        <v>178</v>
      </c>
      <c r="D80" t="s">
        <v>174</v>
      </c>
      <c r="E80" t="s">
        <v>169</v>
      </c>
      <c r="F80" t="s">
        <v>179</v>
      </c>
      <c r="G80" t="s">
        <v>171</v>
      </c>
      <c r="H80" t="s">
        <v>170</v>
      </c>
      <c r="I80" t="s">
        <v>173</v>
      </c>
      <c r="J80" t="s">
        <v>175</v>
      </c>
    </row>
    <row r="81" spans="2:10" customFormat="1" x14ac:dyDescent="0.3">
      <c r="B81" s="77">
        <v>429</v>
      </c>
      <c r="C81" s="78" t="s">
        <v>178</v>
      </c>
      <c r="D81" t="s">
        <v>176</v>
      </c>
      <c r="E81" t="s">
        <v>169</v>
      </c>
      <c r="F81" t="s">
        <v>179</v>
      </c>
      <c r="G81" t="s">
        <v>171</v>
      </c>
      <c r="H81" t="s">
        <v>170</v>
      </c>
      <c r="I81" t="s">
        <v>173</v>
      </c>
      <c r="J81" t="s">
        <v>174</v>
      </c>
    </row>
    <row r="82" spans="2:10" customFormat="1" x14ac:dyDescent="0.3">
      <c r="B82" s="77">
        <v>430</v>
      </c>
      <c r="C82" s="78" t="s">
        <v>178</v>
      </c>
      <c r="D82" t="s">
        <v>176</v>
      </c>
      <c r="E82" t="s">
        <v>169</v>
      </c>
      <c r="F82" t="s">
        <v>179</v>
      </c>
      <c r="G82" t="s">
        <v>171</v>
      </c>
      <c r="H82" t="s">
        <v>170</v>
      </c>
      <c r="I82" t="s">
        <v>174</v>
      </c>
      <c r="J82" t="s">
        <v>175</v>
      </c>
    </row>
    <row r="83" spans="2:10" customFormat="1" x14ac:dyDescent="0.3">
      <c r="B83" s="77">
        <v>431</v>
      </c>
      <c r="C83" s="78" t="s">
        <v>167</v>
      </c>
      <c r="D83" t="s">
        <v>176</v>
      </c>
      <c r="E83" t="s">
        <v>169</v>
      </c>
      <c r="F83" t="s">
        <v>170</v>
      </c>
      <c r="G83" t="s">
        <v>171</v>
      </c>
      <c r="H83" t="s">
        <v>168</v>
      </c>
      <c r="I83" t="s">
        <v>173</v>
      </c>
      <c r="J83" t="s">
        <v>175</v>
      </c>
    </row>
    <row r="84" spans="2:10" customFormat="1" x14ac:dyDescent="0.3">
      <c r="B84" s="77">
        <v>432</v>
      </c>
      <c r="C84" s="78" t="s">
        <v>182</v>
      </c>
      <c r="D84" t="s">
        <v>168</v>
      </c>
      <c r="E84" t="s">
        <v>169</v>
      </c>
      <c r="F84" t="s">
        <v>179</v>
      </c>
      <c r="G84" t="s">
        <v>171</v>
      </c>
      <c r="H84" t="s">
        <v>170</v>
      </c>
      <c r="I84" t="s">
        <v>173</v>
      </c>
      <c r="J84" t="s">
        <v>175</v>
      </c>
    </row>
    <row r="85" spans="2:10" customFormat="1" x14ac:dyDescent="0.3">
      <c r="B85" s="77">
        <v>433</v>
      </c>
      <c r="C85" s="78" t="s">
        <v>167</v>
      </c>
      <c r="D85" t="s">
        <v>176</v>
      </c>
      <c r="E85" t="s">
        <v>169</v>
      </c>
      <c r="F85" t="s">
        <v>170</v>
      </c>
      <c r="G85" t="s">
        <v>171</v>
      </c>
      <c r="H85" t="s">
        <v>168</v>
      </c>
      <c r="I85" t="s">
        <v>173</v>
      </c>
      <c r="J85" t="s">
        <v>174</v>
      </c>
    </row>
    <row r="86" spans="2:10" customFormat="1" x14ac:dyDescent="0.3">
      <c r="B86" s="77">
        <v>434</v>
      </c>
      <c r="C86" s="78" t="s">
        <v>167</v>
      </c>
      <c r="D86" t="s">
        <v>176</v>
      </c>
      <c r="E86" t="s">
        <v>169</v>
      </c>
      <c r="F86" t="s">
        <v>170</v>
      </c>
      <c r="G86" t="s">
        <v>171</v>
      </c>
      <c r="H86" t="s">
        <v>168</v>
      </c>
      <c r="I86" t="s">
        <v>174</v>
      </c>
      <c r="J86" t="s">
        <v>175</v>
      </c>
    </row>
    <row r="87" spans="2:10" customFormat="1" x14ac:dyDescent="0.3">
      <c r="B87" s="77">
        <v>435</v>
      </c>
      <c r="C87" s="78" t="s">
        <v>178</v>
      </c>
      <c r="D87" t="s">
        <v>168</v>
      </c>
      <c r="E87" t="s">
        <v>169</v>
      </c>
      <c r="F87" t="s">
        <v>179</v>
      </c>
      <c r="G87" t="s">
        <v>171</v>
      </c>
      <c r="H87" t="s">
        <v>170</v>
      </c>
      <c r="I87" t="s">
        <v>173</v>
      </c>
      <c r="J87" t="s">
        <v>175</v>
      </c>
    </row>
    <row r="88" spans="2:10" customFormat="1" x14ac:dyDescent="0.3">
      <c r="B88" s="77">
        <v>436</v>
      </c>
      <c r="C88" s="78" t="s">
        <v>178</v>
      </c>
      <c r="D88" t="s">
        <v>168</v>
      </c>
      <c r="E88" t="s">
        <v>169</v>
      </c>
      <c r="F88" t="s">
        <v>179</v>
      </c>
      <c r="G88" t="s">
        <v>171</v>
      </c>
      <c r="H88" t="s">
        <v>170</v>
      </c>
      <c r="I88" t="s">
        <v>173</v>
      </c>
      <c r="J88" t="s">
        <v>176</v>
      </c>
    </row>
    <row r="89" spans="2:10" customFormat="1" x14ac:dyDescent="0.3">
      <c r="B89" s="77">
        <v>437</v>
      </c>
      <c r="C89" s="78" t="s">
        <v>178</v>
      </c>
      <c r="D89" t="s">
        <v>168</v>
      </c>
      <c r="E89" t="s">
        <v>169</v>
      </c>
      <c r="F89" t="s">
        <v>179</v>
      </c>
      <c r="G89" t="s">
        <v>171</v>
      </c>
      <c r="H89" t="s">
        <v>170</v>
      </c>
      <c r="I89" t="s">
        <v>176</v>
      </c>
      <c r="J89" t="s">
        <v>175</v>
      </c>
    </row>
    <row r="90" spans="2:10" customFormat="1" x14ac:dyDescent="0.3">
      <c r="B90" s="77">
        <v>438</v>
      </c>
      <c r="C90" s="78" t="s">
        <v>178</v>
      </c>
      <c r="D90" t="s">
        <v>168</v>
      </c>
      <c r="E90" t="s">
        <v>169</v>
      </c>
      <c r="F90" t="s">
        <v>179</v>
      </c>
      <c r="G90" t="s">
        <v>171</v>
      </c>
      <c r="H90" t="s">
        <v>170</v>
      </c>
      <c r="I90" t="s">
        <v>173</v>
      </c>
      <c r="J90" t="s">
        <v>174</v>
      </c>
    </row>
    <row r="91" spans="2:10" customFormat="1" x14ac:dyDescent="0.3">
      <c r="B91" s="77">
        <v>439</v>
      </c>
      <c r="C91" s="78" t="s">
        <v>178</v>
      </c>
      <c r="D91" t="s">
        <v>168</v>
      </c>
      <c r="E91" t="s">
        <v>169</v>
      </c>
      <c r="F91" t="s">
        <v>179</v>
      </c>
      <c r="G91" t="s">
        <v>171</v>
      </c>
      <c r="H91" t="s">
        <v>170</v>
      </c>
      <c r="I91" t="s">
        <v>174</v>
      </c>
      <c r="J91" t="s">
        <v>175</v>
      </c>
    </row>
    <row r="92" spans="2:10" customFormat="1" x14ac:dyDescent="0.3">
      <c r="B92" s="77">
        <v>440</v>
      </c>
      <c r="C92" s="78" t="s">
        <v>178</v>
      </c>
      <c r="D92" t="s">
        <v>168</v>
      </c>
      <c r="E92" t="s">
        <v>169</v>
      </c>
      <c r="F92" t="s">
        <v>179</v>
      </c>
      <c r="G92" t="s">
        <v>171</v>
      </c>
      <c r="H92" t="s">
        <v>170</v>
      </c>
      <c r="I92" t="s">
        <v>174</v>
      </c>
      <c r="J92" t="s">
        <v>176</v>
      </c>
    </row>
    <row r="93" spans="2:10" customFormat="1" x14ac:dyDescent="0.3">
      <c r="B93" s="77">
        <v>441</v>
      </c>
      <c r="C93" s="78" t="s">
        <v>167</v>
      </c>
      <c r="D93" t="s">
        <v>176</v>
      </c>
      <c r="E93" t="s">
        <v>169</v>
      </c>
      <c r="F93" t="s">
        <v>170</v>
      </c>
      <c r="G93" t="s">
        <v>171</v>
      </c>
      <c r="H93" t="s">
        <v>172</v>
      </c>
      <c r="I93" t="s">
        <v>173</v>
      </c>
      <c r="J93" t="s">
        <v>175</v>
      </c>
    </row>
    <row r="94" spans="2:10" customFormat="1" x14ac:dyDescent="0.3">
      <c r="B94" s="77">
        <v>442</v>
      </c>
      <c r="C94" s="78" t="s">
        <v>167</v>
      </c>
      <c r="D94" t="s">
        <v>174</v>
      </c>
      <c r="E94" t="s">
        <v>169</v>
      </c>
      <c r="F94" t="s">
        <v>170</v>
      </c>
      <c r="G94" t="s">
        <v>171</v>
      </c>
      <c r="H94" t="s">
        <v>172</v>
      </c>
      <c r="I94" t="s">
        <v>173</v>
      </c>
      <c r="J94" t="s">
        <v>175</v>
      </c>
    </row>
    <row r="95" spans="2:10" customFormat="1" x14ac:dyDescent="0.3">
      <c r="B95" s="77">
        <v>443</v>
      </c>
      <c r="C95" s="78" t="s">
        <v>167</v>
      </c>
      <c r="D95" t="s">
        <v>176</v>
      </c>
      <c r="E95" t="s">
        <v>169</v>
      </c>
      <c r="F95" t="s">
        <v>170</v>
      </c>
      <c r="G95" t="s">
        <v>171</v>
      </c>
      <c r="H95" t="s">
        <v>172</v>
      </c>
      <c r="I95" t="s">
        <v>173</v>
      </c>
      <c r="J95" t="s">
        <v>174</v>
      </c>
    </row>
    <row r="96" spans="2:10" customFormat="1" x14ac:dyDescent="0.3">
      <c r="B96" s="77">
        <v>444</v>
      </c>
      <c r="C96" s="78" t="s">
        <v>167</v>
      </c>
      <c r="D96" t="s">
        <v>176</v>
      </c>
      <c r="E96" t="s">
        <v>169</v>
      </c>
      <c r="F96" t="s">
        <v>170</v>
      </c>
      <c r="G96" t="s">
        <v>171</v>
      </c>
      <c r="H96" t="s">
        <v>172</v>
      </c>
      <c r="I96" t="s">
        <v>174</v>
      </c>
      <c r="J96" t="s">
        <v>175</v>
      </c>
    </row>
    <row r="97" spans="2:10" customFormat="1" x14ac:dyDescent="0.3">
      <c r="B97" s="77">
        <v>445</v>
      </c>
      <c r="C97" s="78" t="s">
        <v>178</v>
      </c>
      <c r="D97" t="s">
        <v>172</v>
      </c>
      <c r="E97" t="s">
        <v>169</v>
      </c>
      <c r="F97" t="s">
        <v>179</v>
      </c>
      <c r="G97" t="s">
        <v>171</v>
      </c>
      <c r="H97" t="s">
        <v>170</v>
      </c>
      <c r="I97" t="s">
        <v>173</v>
      </c>
      <c r="J97" t="s">
        <v>175</v>
      </c>
    </row>
    <row r="98" spans="2:10" customFormat="1" x14ac:dyDescent="0.3">
      <c r="B98" s="77">
        <v>446</v>
      </c>
      <c r="C98" s="78" t="s">
        <v>167</v>
      </c>
      <c r="D98" t="s">
        <v>176</v>
      </c>
      <c r="E98" t="s">
        <v>169</v>
      </c>
      <c r="F98" t="s">
        <v>170</v>
      </c>
      <c r="G98" t="s">
        <v>171</v>
      </c>
      <c r="H98" t="s">
        <v>172</v>
      </c>
      <c r="I98" t="s">
        <v>173</v>
      </c>
      <c r="J98" t="s">
        <v>177</v>
      </c>
    </row>
    <row r="99" spans="2:10" customFormat="1" x14ac:dyDescent="0.3">
      <c r="B99" s="77">
        <v>447</v>
      </c>
      <c r="C99" s="78" t="s">
        <v>178</v>
      </c>
      <c r="D99" t="s">
        <v>176</v>
      </c>
      <c r="E99" t="s">
        <v>169</v>
      </c>
      <c r="F99" t="s">
        <v>179</v>
      </c>
      <c r="G99" t="s">
        <v>171</v>
      </c>
      <c r="H99" t="s">
        <v>172</v>
      </c>
      <c r="I99" t="s">
        <v>170</v>
      </c>
      <c r="J99" t="s">
        <v>175</v>
      </c>
    </row>
    <row r="100" spans="2:10" customFormat="1" x14ac:dyDescent="0.3">
      <c r="B100" s="77">
        <v>448</v>
      </c>
      <c r="C100" s="78" t="s">
        <v>178</v>
      </c>
      <c r="D100" t="s">
        <v>172</v>
      </c>
      <c r="E100" t="s">
        <v>169</v>
      </c>
      <c r="F100" t="s">
        <v>179</v>
      </c>
      <c r="G100" t="s">
        <v>171</v>
      </c>
      <c r="H100" t="s">
        <v>170</v>
      </c>
      <c r="I100" t="s">
        <v>173</v>
      </c>
      <c r="J100" t="s">
        <v>174</v>
      </c>
    </row>
    <row r="101" spans="2:10" customFormat="1" x14ac:dyDescent="0.3">
      <c r="B101" s="77">
        <v>449</v>
      </c>
      <c r="C101" s="78" t="s">
        <v>178</v>
      </c>
      <c r="D101" t="s">
        <v>172</v>
      </c>
      <c r="E101" t="s">
        <v>169</v>
      </c>
      <c r="F101" t="s">
        <v>179</v>
      </c>
      <c r="G101" t="s">
        <v>171</v>
      </c>
      <c r="H101" t="s">
        <v>170</v>
      </c>
      <c r="I101" t="s">
        <v>174</v>
      </c>
      <c r="J101" t="s">
        <v>175</v>
      </c>
    </row>
    <row r="102" spans="2:10" customFormat="1" x14ac:dyDescent="0.3">
      <c r="B102" s="77">
        <v>450</v>
      </c>
      <c r="C102" s="78" t="s">
        <v>178</v>
      </c>
      <c r="D102" t="s">
        <v>176</v>
      </c>
      <c r="E102" t="s">
        <v>169</v>
      </c>
      <c r="F102" t="s">
        <v>179</v>
      </c>
      <c r="G102" t="s">
        <v>171</v>
      </c>
      <c r="H102" t="s">
        <v>172</v>
      </c>
      <c r="I102" t="s">
        <v>170</v>
      </c>
      <c r="J102" t="s">
        <v>174</v>
      </c>
    </row>
    <row r="103" spans="2:10" customFormat="1" x14ac:dyDescent="0.3">
      <c r="B103" s="77">
        <v>451</v>
      </c>
      <c r="C103" s="78" t="s">
        <v>167</v>
      </c>
      <c r="D103" t="s">
        <v>168</v>
      </c>
      <c r="E103" t="s">
        <v>169</v>
      </c>
      <c r="F103" t="s">
        <v>170</v>
      </c>
      <c r="G103" t="s">
        <v>171</v>
      </c>
      <c r="H103" t="s">
        <v>172</v>
      </c>
      <c r="I103" t="s">
        <v>173</v>
      </c>
      <c r="J103" t="s">
        <v>175</v>
      </c>
    </row>
    <row r="104" spans="2:10" customFormat="1" x14ac:dyDescent="0.3">
      <c r="B104" s="77">
        <v>452</v>
      </c>
      <c r="C104" s="78" t="s">
        <v>167</v>
      </c>
      <c r="D104" t="s">
        <v>168</v>
      </c>
      <c r="E104" t="s">
        <v>169</v>
      </c>
      <c r="F104" t="s">
        <v>170</v>
      </c>
      <c r="G104" t="s">
        <v>171</v>
      </c>
      <c r="H104" t="s">
        <v>172</v>
      </c>
      <c r="I104" t="s">
        <v>173</v>
      </c>
      <c r="J104" t="s">
        <v>176</v>
      </c>
    </row>
    <row r="105" spans="2:10" customFormat="1" x14ac:dyDescent="0.3">
      <c r="B105" s="77">
        <v>453</v>
      </c>
      <c r="C105" s="78" t="s">
        <v>167</v>
      </c>
      <c r="D105" t="s">
        <v>168</v>
      </c>
      <c r="E105" t="s">
        <v>169</v>
      </c>
      <c r="F105" t="s">
        <v>170</v>
      </c>
      <c r="G105" t="s">
        <v>171</v>
      </c>
      <c r="H105" t="s">
        <v>172</v>
      </c>
      <c r="I105" t="s">
        <v>176</v>
      </c>
      <c r="J105" t="s">
        <v>175</v>
      </c>
    </row>
    <row r="106" spans="2:10" customFormat="1" x14ac:dyDescent="0.3">
      <c r="B106" s="77">
        <v>338</v>
      </c>
      <c r="C106" s="78" t="s">
        <v>180</v>
      </c>
      <c r="D106" t="s">
        <v>176</v>
      </c>
      <c r="E106" t="s">
        <v>169</v>
      </c>
      <c r="F106" t="s">
        <v>170</v>
      </c>
      <c r="G106" t="s">
        <v>171</v>
      </c>
      <c r="H106" t="s">
        <v>177</v>
      </c>
      <c r="I106" t="s">
        <v>173</v>
      </c>
      <c r="J106" t="s">
        <v>174</v>
      </c>
    </row>
    <row r="107" spans="2:10" customFormat="1" x14ac:dyDescent="0.3">
      <c r="B107" s="77">
        <v>339</v>
      </c>
      <c r="C107" s="78" t="s">
        <v>180</v>
      </c>
      <c r="D107" t="s">
        <v>176</v>
      </c>
      <c r="E107" t="s">
        <v>169</v>
      </c>
      <c r="F107" t="s">
        <v>170</v>
      </c>
      <c r="G107" t="s">
        <v>171</v>
      </c>
      <c r="H107" t="s">
        <v>177</v>
      </c>
      <c r="I107" t="s">
        <v>174</v>
      </c>
      <c r="J107" t="s">
        <v>175</v>
      </c>
    </row>
    <row r="108" spans="2:10" customFormat="1" x14ac:dyDescent="0.3">
      <c r="B108" s="77">
        <v>340</v>
      </c>
      <c r="C108" s="78" t="s">
        <v>180</v>
      </c>
      <c r="D108" t="s">
        <v>176</v>
      </c>
      <c r="E108" t="s">
        <v>169</v>
      </c>
      <c r="F108" t="s">
        <v>170</v>
      </c>
      <c r="G108" t="s">
        <v>171</v>
      </c>
      <c r="H108" t="s">
        <v>168</v>
      </c>
      <c r="I108" t="s">
        <v>173</v>
      </c>
      <c r="J108" t="s">
        <v>175</v>
      </c>
    </row>
    <row r="109" spans="2:10" customFormat="1" x14ac:dyDescent="0.3">
      <c r="B109" s="77">
        <v>341</v>
      </c>
      <c r="C109" s="78" t="s">
        <v>180</v>
      </c>
      <c r="D109" t="s">
        <v>168</v>
      </c>
      <c r="E109" t="s">
        <v>169</v>
      </c>
      <c r="F109" t="s">
        <v>171</v>
      </c>
      <c r="G109" t="s">
        <v>174</v>
      </c>
      <c r="H109" t="s">
        <v>170</v>
      </c>
      <c r="I109" t="s">
        <v>173</v>
      </c>
      <c r="J109" t="s">
        <v>175</v>
      </c>
    </row>
    <row r="110" spans="2:10" customFormat="1" x14ac:dyDescent="0.3">
      <c r="B110" s="77">
        <v>342</v>
      </c>
      <c r="C110" s="78" t="s">
        <v>180</v>
      </c>
      <c r="D110" t="s">
        <v>176</v>
      </c>
      <c r="E110" t="s">
        <v>169</v>
      </c>
      <c r="F110" t="s">
        <v>170</v>
      </c>
      <c r="G110" t="s">
        <v>171</v>
      </c>
      <c r="H110" t="s">
        <v>168</v>
      </c>
      <c r="I110" t="s">
        <v>173</v>
      </c>
      <c r="J110" t="s">
        <v>174</v>
      </c>
    </row>
    <row r="111" spans="2:10" customFormat="1" x14ac:dyDescent="0.3">
      <c r="B111" s="77">
        <v>343</v>
      </c>
      <c r="C111" s="78" t="s">
        <v>180</v>
      </c>
      <c r="D111" t="s">
        <v>176</v>
      </c>
      <c r="E111" t="s">
        <v>169</v>
      </c>
      <c r="F111" t="s">
        <v>170</v>
      </c>
      <c r="G111" t="s">
        <v>171</v>
      </c>
      <c r="H111" t="s">
        <v>168</v>
      </c>
      <c r="I111" t="s">
        <v>174</v>
      </c>
      <c r="J111" t="s">
        <v>175</v>
      </c>
    </row>
    <row r="112" spans="2:10" customFormat="1" x14ac:dyDescent="0.3">
      <c r="B112" s="77">
        <v>344</v>
      </c>
      <c r="C112" s="78" t="s">
        <v>180</v>
      </c>
      <c r="D112" t="s">
        <v>168</v>
      </c>
      <c r="E112" t="s">
        <v>169</v>
      </c>
      <c r="F112" t="s">
        <v>170</v>
      </c>
      <c r="G112" t="s">
        <v>171</v>
      </c>
      <c r="H112" t="s">
        <v>177</v>
      </c>
      <c r="I112" t="s">
        <v>173</v>
      </c>
      <c r="J112" t="s">
        <v>175</v>
      </c>
    </row>
    <row r="113" spans="2:10" customFormat="1" x14ac:dyDescent="0.3">
      <c r="B113" s="77">
        <v>345</v>
      </c>
      <c r="C113" s="78" t="s">
        <v>178</v>
      </c>
      <c r="D113" t="s">
        <v>176</v>
      </c>
      <c r="E113" t="s">
        <v>169</v>
      </c>
      <c r="F113" t="s">
        <v>170</v>
      </c>
      <c r="G113" t="s">
        <v>171</v>
      </c>
      <c r="H113" t="s">
        <v>168</v>
      </c>
      <c r="I113" t="s">
        <v>173</v>
      </c>
      <c r="J113" t="s">
        <v>181</v>
      </c>
    </row>
    <row r="114" spans="2:10" customFormat="1" x14ac:dyDescent="0.3">
      <c r="B114" s="77">
        <v>346</v>
      </c>
      <c r="C114" s="78" t="s">
        <v>178</v>
      </c>
      <c r="D114" t="s">
        <v>176</v>
      </c>
      <c r="E114" t="s">
        <v>169</v>
      </c>
      <c r="F114" t="s">
        <v>170</v>
      </c>
      <c r="G114" t="s">
        <v>171</v>
      </c>
      <c r="H114" t="s">
        <v>168</v>
      </c>
      <c r="I114" t="s">
        <v>181</v>
      </c>
      <c r="J114" t="s">
        <v>175</v>
      </c>
    </row>
    <row r="115" spans="2:10" customFormat="1" x14ac:dyDescent="0.3">
      <c r="B115" s="77">
        <v>347</v>
      </c>
      <c r="C115" s="78" t="s">
        <v>180</v>
      </c>
      <c r="D115" t="s">
        <v>168</v>
      </c>
      <c r="E115" t="s">
        <v>169</v>
      </c>
      <c r="F115" t="s">
        <v>170</v>
      </c>
      <c r="G115" t="s">
        <v>171</v>
      </c>
      <c r="H115" t="s">
        <v>177</v>
      </c>
      <c r="I115" t="s">
        <v>173</v>
      </c>
      <c r="J115" t="s">
        <v>174</v>
      </c>
    </row>
    <row r="116" spans="2:10" customFormat="1" x14ac:dyDescent="0.3">
      <c r="B116" s="77">
        <v>348</v>
      </c>
      <c r="C116" s="78" t="s">
        <v>180</v>
      </c>
      <c r="D116" t="s">
        <v>168</v>
      </c>
      <c r="E116" t="s">
        <v>169</v>
      </c>
      <c r="F116" t="s">
        <v>170</v>
      </c>
      <c r="G116" t="s">
        <v>171</v>
      </c>
      <c r="H116" t="s">
        <v>177</v>
      </c>
      <c r="I116" t="s">
        <v>174</v>
      </c>
      <c r="J116" t="s">
        <v>175</v>
      </c>
    </row>
    <row r="117" spans="2:10" customFormat="1" x14ac:dyDescent="0.3">
      <c r="B117" s="77">
        <v>349</v>
      </c>
      <c r="C117" s="78" t="s">
        <v>178</v>
      </c>
      <c r="D117" t="s">
        <v>176</v>
      </c>
      <c r="E117" t="s">
        <v>169</v>
      </c>
      <c r="F117" t="s">
        <v>170</v>
      </c>
      <c r="G117" t="s">
        <v>171</v>
      </c>
      <c r="H117" t="s">
        <v>168</v>
      </c>
      <c r="I117" t="s">
        <v>181</v>
      </c>
      <c r="J117" t="s">
        <v>174</v>
      </c>
    </row>
    <row r="118" spans="2:10" customFormat="1" x14ac:dyDescent="0.3">
      <c r="B118" s="77">
        <v>350</v>
      </c>
      <c r="C118" s="78" t="s">
        <v>180</v>
      </c>
      <c r="D118" t="s">
        <v>176</v>
      </c>
      <c r="E118" t="s">
        <v>169</v>
      </c>
      <c r="F118" t="s">
        <v>170</v>
      </c>
      <c r="G118" t="s">
        <v>171</v>
      </c>
      <c r="H118" t="s">
        <v>172</v>
      </c>
      <c r="I118" t="s">
        <v>173</v>
      </c>
      <c r="J118" t="s">
        <v>175</v>
      </c>
    </row>
    <row r="119" spans="2:10" customFormat="1" x14ac:dyDescent="0.3">
      <c r="B119" s="77">
        <v>351</v>
      </c>
      <c r="C119" s="78" t="s">
        <v>180</v>
      </c>
      <c r="D119" t="s">
        <v>174</v>
      </c>
      <c r="E119" t="s">
        <v>169</v>
      </c>
      <c r="F119" t="s">
        <v>170</v>
      </c>
      <c r="G119" t="s">
        <v>171</v>
      </c>
      <c r="H119" t="s">
        <v>172</v>
      </c>
      <c r="I119" t="s">
        <v>173</v>
      </c>
      <c r="J119" t="s">
        <v>175</v>
      </c>
    </row>
    <row r="120" spans="2:10" customFormat="1" x14ac:dyDescent="0.3">
      <c r="B120" s="77">
        <v>352</v>
      </c>
      <c r="C120" s="78" t="s">
        <v>180</v>
      </c>
      <c r="D120" t="s">
        <v>176</v>
      </c>
      <c r="E120" t="s">
        <v>169</v>
      </c>
      <c r="F120" t="s">
        <v>170</v>
      </c>
      <c r="G120" t="s">
        <v>171</v>
      </c>
      <c r="H120" t="s">
        <v>172</v>
      </c>
      <c r="I120" t="s">
        <v>173</v>
      </c>
      <c r="J120" t="s">
        <v>174</v>
      </c>
    </row>
    <row r="121" spans="2:10" customFormat="1" x14ac:dyDescent="0.3">
      <c r="B121" s="77">
        <v>353</v>
      </c>
      <c r="C121" s="78" t="s">
        <v>180</v>
      </c>
      <c r="D121" t="s">
        <v>176</v>
      </c>
      <c r="E121" t="s">
        <v>169</v>
      </c>
      <c r="F121" t="s">
        <v>170</v>
      </c>
      <c r="G121" t="s">
        <v>171</v>
      </c>
      <c r="H121" t="s">
        <v>172</v>
      </c>
      <c r="I121" t="s">
        <v>174</v>
      </c>
      <c r="J121" t="s">
        <v>175</v>
      </c>
    </row>
    <row r="122" spans="2:10" customFormat="1" x14ac:dyDescent="0.3">
      <c r="B122" s="77">
        <v>354</v>
      </c>
      <c r="C122" s="78" t="s">
        <v>178</v>
      </c>
      <c r="D122" t="s">
        <v>181</v>
      </c>
      <c r="E122" t="s">
        <v>169</v>
      </c>
      <c r="F122" t="s">
        <v>170</v>
      </c>
      <c r="G122" t="s">
        <v>171</v>
      </c>
      <c r="H122" t="s">
        <v>172</v>
      </c>
      <c r="I122" t="s">
        <v>173</v>
      </c>
      <c r="J122" t="s">
        <v>175</v>
      </c>
    </row>
    <row r="123" spans="2:10" customFormat="1" x14ac:dyDescent="0.3">
      <c r="B123" s="77">
        <v>355</v>
      </c>
      <c r="C123" s="78" t="s">
        <v>178</v>
      </c>
      <c r="D123" t="s">
        <v>176</v>
      </c>
      <c r="E123" t="s">
        <v>169</v>
      </c>
      <c r="F123" t="s">
        <v>170</v>
      </c>
      <c r="G123" t="s">
        <v>171</v>
      </c>
      <c r="H123" t="s">
        <v>172</v>
      </c>
      <c r="I123" t="s">
        <v>173</v>
      </c>
      <c r="J123" t="s">
        <v>181</v>
      </c>
    </row>
    <row r="124" spans="2:10" customFormat="1" x14ac:dyDescent="0.3">
      <c r="B124" s="77">
        <v>356</v>
      </c>
      <c r="C124" s="78" t="s">
        <v>178</v>
      </c>
      <c r="D124" t="s">
        <v>176</v>
      </c>
      <c r="E124" t="s">
        <v>169</v>
      </c>
      <c r="F124" t="s">
        <v>170</v>
      </c>
      <c r="G124" t="s">
        <v>171</v>
      </c>
      <c r="H124" t="s">
        <v>172</v>
      </c>
      <c r="I124" t="s">
        <v>181</v>
      </c>
      <c r="J124" t="s">
        <v>175</v>
      </c>
    </row>
    <row r="125" spans="2:10" customFormat="1" x14ac:dyDescent="0.3">
      <c r="B125" s="77">
        <v>357</v>
      </c>
      <c r="C125" s="78" t="s">
        <v>178</v>
      </c>
      <c r="D125" t="s">
        <v>181</v>
      </c>
      <c r="E125" t="s">
        <v>169</v>
      </c>
      <c r="F125" t="s">
        <v>170</v>
      </c>
      <c r="G125" t="s">
        <v>171</v>
      </c>
      <c r="H125" t="s">
        <v>172</v>
      </c>
      <c r="I125" t="s">
        <v>173</v>
      </c>
      <c r="J125" t="s">
        <v>174</v>
      </c>
    </row>
    <row r="126" spans="2:10" customFormat="1" x14ac:dyDescent="0.3">
      <c r="B126" s="77">
        <v>358</v>
      </c>
      <c r="C126" s="78" t="s">
        <v>178</v>
      </c>
      <c r="D126" t="s">
        <v>181</v>
      </c>
      <c r="E126" t="s">
        <v>169</v>
      </c>
      <c r="F126" t="s">
        <v>170</v>
      </c>
      <c r="G126" t="s">
        <v>171</v>
      </c>
      <c r="H126" t="s">
        <v>172</v>
      </c>
      <c r="I126" t="s">
        <v>174</v>
      </c>
      <c r="J126" t="s">
        <v>175</v>
      </c>
    </row>
    <row r="127" spans="2:10" customFormat="1" x14ac:dyDescent="0.3">
      <c r="B127" s="77">
        <v>359</v>
      </c>
      <c r="C127" s="78" t="s">
        <v>178</v>
      </c>
      <c r="D127" t="s">
        <v>176</v>
      </c>
      <c r="E127" t="s">
        <v>169</v>
      </c>
      <c r="F127" t="s">
        <v>170</v>
      </c>
      <c r="G127" t="s">
        <v>171</v>
      </c>
      <c r="H127" t="s">
        <v>172</v>
      </c>
      <c r="I127" t="s">
        <v>181</v>
      </c>
      <c r="J127" t="s">
        <v>174</v>
      </c>
    </row>
    <row r="128" spans="2:10" customFormat="1" x14ac:dyDescent="0.3">
      <c r="B128" s="77">
        <v>360</v>
      </c>
      <c r="C128" s="78" t="s">
        <v>180</v>
      </c>
      <c r="D128" t="s">
        <v>168</v>
      </c>
      <c r="E128" t="s">
        <v>169</v>
      </c>
      <c r="F128" t="s">
        <v>170</v>
      </c>
      <c r="G128" t="s">
        <v>171</v>
      </c>
      <c r="H128" t="s">
        <v>172</v>
      </c>
      <c r="I128" t="s">
        <v>173</v>
      </c>
      <c r="J128" t="s">
        <v>175</v>
      </c>
    </row>
    <row r="129" spans="2:10" customFormat="1" x14ac:dyDescent="0.3">
      <c r="B129" s="77">
        <v>361</v>
      </c>
      <c r="C129" s="78" t="s">
        <v>180</v>
      </c>
      <c r="D129" t="s">
        <v>168</v>
      </c>
      <c r="E129" t="s">
        <v>169</v>
      </c>
      <c r="F129" t="s">
        <v>170</v>
      </c>
      <c r="G129" t="s">
        <v>171</v>
      </c>
      <c r="H129" t="s">
        <v>172</v>
      </c>
      <c r="I129" t="s">
        <v>173</v>
      </c>
      <c r="J129" t="s">
        <v>176</v>
      </c>
    </row>
    <row r="130" spans="2:10" customFormat="1" x14ac:dyDescent="0.3">
      <c r="B130" s="77">
        <v>362</v>
      </c>
      <c r="C130" s="78" t="s">
        <v>180</v>
      </c>
      <c r="D130" t="s">
        <v>168</v>
      </c>
      <c r="E130" t="s">
        <v>169</v>
      </c>
      <c r="F130" t="s">
        <v>170</v>
      </c>
      <c r="G130" t="s">
        <v>171</v>
      </c>
      <c r="H130" t="s">
        <v>172</v>
      </c>
      <c r="I130" t="s">
        <v>176</v>
      </c>
      <c r="J130" t="s">
        <v>175</v>
      </c>
    </row>
    <row r="131" spans="2:10" customFormat="1" x14ac:dyDescent="0.3">
      <c r="B131" s="77">
        <v>363</v>
      </c>
      <c r="C131" s="78" t="s">
        <v>180</v>
      </c>
      <c r="D131" t="s">
        <v>168</v>
      </c>
      <c r="E131" t="s">
        <v>169</v>
      </c>
      <c r="F131" t="s">
        <v>170</v>
      </c>
      <c r="G131" t="s">
        <v>171</v>
      </c>
      <c r="H131" t="s">
        <v>172</v>
      </c>
      <c r="I131" t="s">
        <v>173</v>
      </c>
      <c r="J131" t="s">
        <v>174</v>
      </c>
    </row>
    <row r="132" spans="2:10" customFormat="1" x14ac:dyDescent="0.3">
      <c r="B132" s="77">
        <v>364</v>
      </c>
      <c r="C132" s="78" t="s">
        <v>180</v>
      </c>
      <c r="D132" t="s">
        <v>168</v>
      </c>
      <c r="E132" t="s">
        <v>169</v>
      </c>
      <c r="F132" t="s">
        <v>170</v>
      </c>
      <c r="G132" t="s">
        <v>171</v>
      </c>
      <c r="H132" t="s">
        <v>172</v>
      </c>
      <c r="I132" t="s">
        <v>174</v>
      </c>
      <c r="J132" t="s">
        <v>175</v>
      </c>
    </row>
    <row r="133" spans="2:10" customFormat="1" x14ac:dyDescent="0.3">
      <c r="B133" s="77">
        <v>365</v>
      </c>
      <c r="C133" s="78" t="s">
        <v>180</v>
      </c>
      <c r="D133" t="s">
        <v>168</v>
      </c>
      <c r="E133" t="s">
        <v>169</v>
      </c>
      <c r="F133" t="s">
        <v>170</v>
      </c>
      <c r="G133" t="s">
        <v>171</v>
      </c>
      <c r="H133" t="s">
        <v>172</v>
      </c>
      <c r="I133" t="s">
        <v>174</v>
      </c>
      <c r="J133" t="s">
        <v>176</v>
      </c>
    </row>
    <row r="134" spans="2:10" customFormat="1" x14ac:dyDescent="0.3">
      <c r="B134" s="77">
        <v>366</v>
      </c>
      <c r="C134" s="78" t="s">
        <v>178</v>
      </c>
      <c r="D134" t="s">
        <v>168</v>
      </c>
      <c r="E134" t="s">
        <v>169</v>
      </c>
      <c r="F134" t="s">
        <v>170</v>
      </c>
      <c r="G134" t="s">
        <v>171</v>
      </c>
      <c r="H134" t="s">
        <v>172</v>
      </c>
      <c r="I134" t="s">
        <v>173</v>
      </c>
      <c r="J134" t="s">
        <v>181</v>
      </c>
    </row>
    <row r="135" spans="2:10" customFormat="1" x14ac:dyDescent="0.3">
      <c r="B135" s="77">
        <v>367</v>
      </c>
      <c r="C135" s="78" t="s">
        <v>178</v>
      </c>
      <c r="D135" t="s">
        <v>168</v>
      </c>
      <c r="E135" t="s">
        <v>169</v>
      </c>
      <c r="F135" t="s">
        <v>170</v>
      </c>
      <c r="G135" t="s">
        <v>171</v>
      </c>
      <c r="H135" t="s">
        <v>172</v>
      </c>
      <c r="I135" t="s">
        <v>181</v>
      </c>
      <c r="J135" t="s">
        <v>175</v>
      </c>
    </row>
    <row r="136" spans="2:10" customFormat="1" x14ac:dyDescent="0.3">
      <c r="B136" s="77">
        <v>368</v>
      </c>
      <c r="C136" s="78" t="s">
        <v>178</v>
      </c>
      <c r="D136" t="s">
        <v>168</v>
      </c>
      <c r="E136" t="s">
        <v>169</v>
      </c>
      <c r="F136" t="s">
        <v>170</v>
      </c>
      <c r="G136" t="s">
        <v>171</v>
      </c>
      <c r="H136" t="s">
        <v>172</v>
      </c>
      <c r="I136" t="s">
        <v>181</v>
      </c>
      <c r="J136" t="s">
        <v>176</v>
      </c>
    </row>
    <row r="137" spans="2:10" customFormat="1" x14ac:dyDescent="0.3">
      <c r="B137" s="77">
        <v>369</v>
      </c>
      <c r="C137" s="78" t="s">
        <v>178</v>
      </c>
      <c r="D137" t="s">
        <v>168</v>
      </c>
      <c r="E137" t="s">
        <v>169</v>
      </c>
      <c r="F137" t="s">
        <v>170</v>
      </c>
      <c r="G137" t="s">
        <v>171</v>
      </c>
      <c r="H137" t="s">
        <v>172</v>
      </c>
      <c r="I137" t="s">
        <v>181</v>
      </c>
      <c r="J137" t="s">
        <v>174</v>
      </c>
    </row>
    <row r="138" spans="2:10" customFormat="1" x14ac:dyDescent="0.3">
      <c r="B138" s="77">
        <v>370</v>
      </c>
      <c r="C138" s="78" t="s">
        <v>182</v>
      </c>
      <c r="D138" t="s">
        <v>176</v>
      </c>
      <c r="E138" t="s">
        <v>169</v>
      </c>
      <c r="F138" t="s">
        <v>179</v>
      </c>
      <c r="G138" t="s">
        <v>171</v>
      </c>
      <c r="H138" t="s">
        <v>177</v>
      </c>
      <c r="I138" t="s">
        <v>173</v>
      </c>
      <c r="J138" t="s">
        <v>175</v>
      </c>
    </row>
    <row r="139" spans="2:10" customFormat="1" x14ac:dyDescent="0.3">
      <c r="B139" s="77">
        <v>371</v>
      </c>
      <c r="C139" s="78" t="s">
        <v>182</v>
      </c>
      <c r="D139" t="s">
        <v>176</v>
      </c>
      <c r="E139" t="s">
        <v>169</v>
      </c>
      <c r="F139" t="s">
        <v>179</v>
      </c>
      <c r="G139" t="s">
        <v>171</v>
      </c>
      <c r="H139" t="s">
        <v>168</v>
      </c>
      <c r="I139" t="s">
        <v>173</v>
      </c>
      <c r="J139" t="s">
        <v>175</v>
      </c>
    </row>
    <row r="140" spans="2:10" customFormat="1" x14ac:dyDescent="0.3">
      <c r="B140" s="77">
        <v>372</v>
      </c>
      <c r="C140" s="78" t="s">
        <v>178</v>
      </c>
      <c r="D140" t="s">
        <v>176</v>
      </c>
      <c r="E140" t="s">
        <v>169</v>
      </c>
      <c r="F140" t="s">
        <v>179</v>
      </c>
      <c r="G140" t="s">
        <v>171</v>
      </c>
      <c r="H140" t="s">
        <v>168</v>
      </c>
      <c r="I140" t="s">
        <v>173</v>
      </c>
      <c r="J140" t="s">
        <v>175</v>
      </c>
    </row>
    <row r="141" spans="2:10" customFormat="1" x14ac:dyDescent="0.3">
      <c r="B141" s="77">
        <v>373</v>
      </c>
      <c r="C141" s="78" t="s">
        <v>182</v>
      </c>
      <c r="D141" t="s">
        <v>168</v>
      </c>
      <c r="E141" t="s">
        <v>169</v>
      </c>
      <c r="F141" t="s">
        <v>179</v>
      </c>
      <c r="G141" t="s">
        <v>171</v>
      </c>
      <c r="H141" t="s">
        <v>177</v>
      </c>
      <c r="I141" t="s">
        <v>173</v>
      </c>
      <c r="J141" t="s">
        <v>175</v>
      </c>
    </row>
    <row r="142" spans="2:10" customFormat="1" x14ac:dyDescent="0.3">
      <c r="B142" s="77">
        <v>374</v>
      </c>
      <c r="C142" s="78" t="s">
        <v>178</v>
      </c>
      <c r="D142" t="s">
        <v>176</v>
      </c>
      <c r="E142" t="s">
        <v>169</v>
      </c>
      <c r="F142" t="s">
        <v>179</v>
      </c>
      <c r="G142" t="s">
        <v>171</v>
      </c>
      <c r="H142" t="s">
        <v>168</v>
      </c>
      <c r="I142" t="s">
        <v>173</v>
      </c>
      <c r="J142" t="s">
        <v>174</v>
      </c>
    </row>
    <row r="143" spans="2:10" customFormat="1" x14ac:dyDescent="0.3">
      <c r="B143" s="77">
        <v>375</v>
      </c>
      <c r="C143" s="78" t="s">
        <v>178</v>
      </c>
      <c r="D143" t="s">
        <v>176</v>
      </c>
      <c r="E143" t="s">
        <v>169</v>
      </c>
      <c r="F143" t="s">
        <v>179</v>
      </c>
      <c r="G143" t="s">
        <v>171</v>
      </c>
      <c r="H143" t="s">
        <v>168</v>
      </c>
      <c r="I143" t="s">
        <v>174</v>
      </c>
      <c r="J143" t="s">
        <v>175</v>
      </c>
    </row>
    <row r="144" spans="2:10" customFormat="1" x14ac:dyDescent="0.3">
      <c r="B144" s="77">
        <v>376</v>
      </c>
      <c r="C144" s="78" t="s">
        <v>182</v>
      </c>
      <c r="D144" t="s">
        <v>176</v>
      </c>
      <c r="E144" t="s">
        <v>169</v>
      </c>
      <c r="F144" t="s">
        <v>179</v>
      </c>
      <c r="G144" t="s">
        <v>171</v>
      </c>
      <c r="H144" t="s">
        <v>172</v>
      </c>
      <c r="I144" t="s">
        <v>173</v>
      </c>
      <c r="J144" t="s">
        <v>175</v>
      </c>
    </row>
    <row r="145" spans="2:10" customFormat="1" x14ac:dyDescent="0.3">
      <c r="B145" s="77">
        <v>377</v>
      </c>
      <c r="C145" s="78" t="s">
        <v>178</v>
      </c>
      <c r="D145" t="s">
        <v>176</v>
      </c>
      <c r="E145" t="s">
        <v>169</v>
      </c>
      <c r="F145" t="s">
        <v>179</v>
      </c>
      <c r="G145" t="s">
        <v>171</v>
      </c>
      <c r="H145" t="s">
        <v>172</v>
      </c>
      <c r="I145" t="s">
        <v>173</v>
      </c>
      <c r="J145" t="s">
        <v>175</v>
      </c>
    </row>
    <row r="146" spans="2:10" customFormat="1" x14ac:dyDescent="0.3">
      <c r="B146" s="77">
        <v>378</v>
      </c>
      <c r="C146" s="78" t="s">
        <v>178</v>
      </c>
      <c r="D146" t="s">
        <v>174</v>
      </c>
      <c r="E146" t="s">
        <v>169</v>
      </c>
      <c r="F146" t="s">
        <v>179</v>
      </c>
      <c r="G146" t="s">
        <v>171</v>
      </c>
      <c r="H146" t="s">
        <v>172</v>
      </c>
      <c r="I146" t="s">
        <v>173</v>
      </c>
      <c r="J146" t="s">
        <v>175</v>
      </c>
    </row>
    <row r="147" spans="2:10" customFormat="1" x14ac:dyDescent="0.3">
      <c r="B147" s="77">
        <v>379</v>
      </c>
      <c r="C147" s="78" t="s">
        <v>178</v>
      </c>
      <c r="D147" t="s">
        <v>176</v>
      </c>
      <c r="E147" t="s">
        <v>169</v>
      </c>
      <c r="F147" t="s">
        <v>179</v>
      </c>
      <c r="G147" t="s">
        <v>171</v>
      </c>
      <c r="H147" t="s">
        <v>172</v>
      </c>
      <c r="I147" t="s">
        <v>173</v>
      </c>
      <c r="J147" t="s">
        <v>174</v>
      </c>
    </row>
    <row r="148" spans="2:10" customFormat="1" x14ac:dyDescent="0.3">
      <c r="B148" s="77">
        <v>380</v>
      </c>
      <c r="C148" s="78" t="s">
        <v>178</v>
      </c>
      <c r="D148" t="s">
        <v>176</v>
      </c>
      <c r="E148" t="s">
        <v>169</v>
      </c>
      <c r="F148" t="s">
        <v>179</v>
      </c>
      <c r="G148" t="s">
        <v>171</v>
      </c>
      <c r="H148" t="s">
        <v>172</v>
      </c>
      <c r="I148" t="s">
        <v>174</v>
      </c>
      <c r="J148" t="s">
        <v>175</v>
      </c>
    </row>
    <row r="149" spans="2:10" customFormat="1" x14ac:dyDescent="0.3">
      <c r="B149" s="77">
        <v>381</v>
      </c>
      <c r="C149" s="78" t="s">
        <v>167</v>
      </c>
      <c r="D149" t="s">
        <v>176</v>
      </c>
      <c r="E149" t="s">
        <v>169</v>
      </c>
      <c r="F149" t="s">
        <v>172</v>
      </c>
      <c r="G149" t="s">
        <v>171</v>
      </c>
      <c r="H149" t="s">
        <v>168</v>
      </c>
      <c r="I149" t="s">
        <v>173</v>
      </c>
      <c r="J149" t="s">
        <v>175</v>
      </c>
    </row>
    <row r="150" spans="2:10" customFormat="1" x14ac:dyDescent="0.3">
      <c r="B150" s="77">
        <v>382</v>
      </c>
      <c r="C150" s="78" t="s">
        <v>182</v>
      </c>
      <c r="D150" t="s">
        <v>168</v>
      </c>
      <c r="E150" t="s">
        <v>169</v>
      </c>
      <c r="F150" t="s">
        <v>179</v>
      </c>
      <c r="G150" t="s">
        <v>171</v>
      </c>
      <c r="H150" t="s">
        <v>172</v>
      </c>
      <c r="I150" t="s">
        <v>173</v>
      </c>
      <c r="J150" t="s">
        <v>175</v>
      </c>
    </row>
    <row r="151" spans="2:10" customFormat="1" x14ac:dyDescent="0.3">
      <c r="B151" s="77">
        <v>383</v>
      </c>
      <c r="C151" s="78" t="s">
        <v>167</v>
      </c>
      <c r="D151" t="s">
        <v>176</v>
      </c>
      <c r="E151" t="s">
        <v>169</v>
      </c>
      <c r="F151" t="s">
        <v>172</v>
      </c>
      <c r="G151" t="s">
        <v>171</v>
      </c>
      <c r="H151" t="s">
        <v>168</v>
      </c>
      <c r="I151" t="s">
        <v>173</v>
      </c>
      <c r="J151" t="s">
        <v>174</v>
      </c>
    </row>
    <row r="152" spans="2:10" customFormat="1" x14ac:dyDescent="0.3">
      <c r="B152" s="77">
        <v>384</v>
      </c>
      <c r="C152" s="78" t="s">
        <v>167</v>
      </c>
      <c r="D152" t="s">
        <v>176</v>
      </c>
      <c r="E152" t="s">
        <v>169</v>
      </c>
      <c r="F152" t="s">
        <v>172</v>
      </c>
      <c r="G152" t="s">
        <v>171</v>
      </c>
      <c r="H152" t="s">
        <v>168</v>
      </c>
      <c r="I152" t="s">
        <v>174</v>
      </c>
      <c r="J152" t="s">
        <v>175</v>
      </c>
    </row>
    <row r="153" spans="2:10" customFormat="1" x14ac:dyDescent="0.3">
      <c r="B153" s="77">
        <v>385</v>
      </c>
      <c r="C153" s="78" t="s">
        <v>178</v>
      </c>
      <c r="D153" t="s">
        <v>168</v>
      </c>
      <c r="E153" t="s">
        <v>169</v>
      </c>
      <c r="F153" t="s">
        <v>179</v>
      </c>
      <c r="G153" t="s">
        <v>171</v>
      </c>
      <c r="H153" t="s">
        <v>172</v>
      </c>
      <c r="I153" t="s">
        <v>173</v>
      </c>
      <c r="J153" t="s">
        <v>175</v>
      </c>
    </row>
    <row r="154" spans="2:10" customFormat="1" x14ac:dyDescent="0.3">
      <c r="B154" s="77">
        <v>386</v>
      </c>
      <c r="C154" s="78" t="s">
        <v>178</v>
      </c>
      <c r="D154" t="s">
        <v>168</v>
      </c>
      <c r="E154" t="s">
        <v>169</v>
      </c>
      <c r="F154" t="s">
        <v>179</v>
      </c>
      <c r="G154" t="s">
        <v>171</v>
      </c>
      <c r="H154" t="s">
        <v>172</v>
      </c>
      <c r="I154" t="s">
        <v>173</v>
      </c>
      <c r="J154" t="s">
        <v>176</v>
      </c>
    </row>
    <row r="155" spans="2:10" customFormat="1" x14ac:dyDescent="0.3">
      <c r="B155" s="77">
        <v>387</v>
      </c>
      <c r="C155" s="78" t="s">
        <v>178</v>
      </c>
      <c r="D155" t="s">
        <v>168</v>
      </c>
      <c r="E155" t="s">
        <v>169</v>
      </c>
      <c r="F155" t="s">
        <v>179</v>
      </c>
      <c r="G155" t="s">
        <v>171</v>
      </c>
      <c r="H155" t="s">
        <v>172</v>
      </c>
      <c r="I155" t="s">
        <v>176</v>
      </c>
      <c r="J155" t="s">
        <v>175</v>
      </c>
    </row>
    <row r="156" spans="2:10" customFormat="1" x14ac:dyDescent="0.3">
      <c r="B156" s="77">
        <v>388</v>
      </c>
      <c r="C156" s="78" t="s">
        <v>178</v>
      </c>
      <c r="D156" t="s">
        <v>168</v>
      </c>
      <c r="E156" t="s">
        <v>169</v>
      </c>
      <c r="F156" t="s">
        <v>179</v>
      </c>
      <c r="G156" t="s">
        <v>171</v>
      </c>
      <c r="H156" t="s">
        <v>172</v>
      </c>
      <c r="I156" t="s">
        <v>173</v>
      </c>
      <c r="J156" t="s">
        <v>174</v>
      </c>
    </row>
    <row r="157" spans="2:10" customFormat="1" x14ac:dyDescent="0.3">
      <c r="B157" s="77">
        <v>389</v>
      </c>
      <c r="C157" s="78" t="s">
        <v>178</v>
      </c>
      <c r="D157" t="s">
        <v>168</v>
      </c>
      <c r="E157" t="s">
        <v>169</v>
      </c>
      <c r="F157" t="s">
        <v>179</v>
      </c>
      <c r="G157" t="s">
        <v>171</v>
      </c>
      <c r="H157" t="s">
        <v>172</v>
      </c>
      <c r="I157" t="s">
        <v>174</v>
      </c>
      <c r="J157" t="s">
        <v>175</v>
      </c>
    </row>
    <row r="158" spans="2:10" customFormat="1" x14ac:dyDescent="0.3">
      <c r="B158" s="77">
        <v>390</v>
      </c>
      <c r="C158" s="78" t="s">
        <v>178</v>
      </c>
      <c r="D158" t="s">
        <v>168</v>
      </c>
      <c r="E158" t="s">
        <v>169</v>
      </c>
      <c r="F158" t="s">
        <v>179</v>
      </c>
      <c r="G158" t="s">
        <v>171</v>
      </c>
      <c r="H158" t="s">
        <v>172</v>
      </c>
      <c r="I158" t="s">
        <v>174</v>
      </c>
      <c r="J158" t="s">
        <v>176</v>
      </c>
    </row>
    <row r="159" spans="2:10" customFormat="1" x14ac:dyDescent="0.3">
      <c r="B159" s="77">
        <v>391</v>
      </c>
      <c r="C159" s="78" t="s">
        <v>180</v>
      </c>
      <c r="D159" t="s">
        <v>176</v>
      </c>
      <c r="E159" t="s">
        <v>169</v>
      </c>
      <c r="F159" t="s">
        <v>171</v>
      </c>
      <c r="G159" t="s">
        <v>174</v>
      </c>
      <c r="H159" t="s">
        <v>179</v>
      </c>
      <c r="I159" t="s">
        <v>173</v>
      </c>
      <c r="J159" t="s">
        <v>175</v>
      </c>
    </row>
    <row r="160" spans="2:10" customFormat="1" x14ac:dyDescent="0.3">
      <c r="B160" s="77">
        <v>392</v>
      </c>
      <c r="C160" s="78" t="s">
        <v>180</v>
      </c>
      <c r="D160" t="s">
        <v>176</v>
      </c>
      <c r="E160" t="s">
        <v>169</v>
      </c>
      <c r="F160" t="s">
        <v>179</v>
      </c>
      <c r="G160" t="s">
        <v>171</v>
      </c>
      <c r="H160" t="s">
        <v>177</v>
      </c>
      <c r="I160" t="s">
        <v>173</v>
      </c>
      <c r="J160" t="s">
        <v>175</v>
      </c>
    </row>
    <row r="161" spans="2:11" customFormat="1" x14ac:dyDescent="0.3">
      <c r="B161" s="77">
        <v>393</v>
      </c>
      <c r="C161" s="78" t="s">
        <v>180</v>
      </c>
      <c r="D161" t="s">
        <v>174</v>
      </c>
      <c r="E161" t="s">
        <v>169</v>
      </c>
      <c r="F161" t="s">
        <v>179</v>
      </c>
      <c r="G161" t="s">
        <v>171</v>
      </c>
      <c r="H161" t="s">
        <v>177</v>
      </c>
      <c r="I161" t="s">
        <v>173</v>
      </c>
      <c r="J161" t="s">
        <v>175</v>
      </c>
    </row>
    <row r="162" spans="2:11" customFormat="1" x14ac:dyDescent="0.3">
      <c r="B162" s="77">
        <v>394</v>
      </c>
      <c r="C162" s="78" t="s">
        <v>180</v>
      </c>
      <c r="D162" t="s">
        <v>176</v>
      </c>
      <c r="E162" t="s">
        <v>169</v>
      </c>
      <c r="F162" t="s">
        <v>179</v>
      </c>
      <c r="G162" t="s">
        <v>171</v>
      </c>
      <c r="H162" t="s">
        <v>177</v>
      </c>
      <c r="I162" t="s">
        <v>173</v>
      </c>
      <c r="J162" t="s">
        <v>174</v>
      </c>
    </row>
    <row r="163" spans="2:11" customFormat="1" x14ac:dyDescent="0.3">
      <c r="B163" s="77">
        <v>395</v>
      </c>
      <c r="C163" s="78" t="s">
        <v>180</v>
      </c>
      <c r="D163" t="s">
        <v>176</v>
      </c>
      <c r="E163" t="s">
        <v>169</v>
      </c>
      <c r="F163" t="s">
        <v>179</v>
      </c>
      <c r="G163" t="s">
        <v>171</v>
      </c>
      <c r="H163" t="s">
        <v>177</v>
      </c>
      <c r="I163" t="s">
        <v>174</v>
      </c>
      <c r="J163" t="s">
        <v>175</v>
      </c>
    </row>
    <row r="164" spans="2:11" customFormat="1" x14ac:dyDescent="0.3">
      <c r="B164" s="77">
        <v>280</v>
      </c>
      <c r="C164" s="78" t="s">
        <v>167</v>
      </c>
      <c r="D164" t="s">
        <v>168</v>
      </c>
      <c r="E164" t="s">
        <v>181</v>
      </c>
      <c r="F164" t="s">
        <v>170</v>
      </c>
      <c r="G164" t="s">
        <v>171</v>
      </c>
      <c r="H164" t="s">
        <v>172</v>
      </c>
      <c r="I164" t="s">
        <v>174</v>
      </c>
      <c r="J164" t="s">
        <v>175</v>
      </c>
    </row>
    <row r="165" spans="2:11" customFormat="1" x14ac:dyDescent="0.3">
      <c r="B165" s="77">
        <v>281</v>
      </c>
      <c r="C165" s="78" t="s">
        <v>167</v>
      </c>
      <c r="D165" t="s">
        <v>168</v>
      </c>
      <c r="E165" t="s">
        <v>176</v>
      </c>
      <c r="F165" t="s">
        <v>170</v>
      </c>
      <c r="G165" t="s">
        <v>171</v>
      </c>
      <c r="H165" t="s">
        <v>172</v>
      </c>
      <c r="I165" t="s">
        <v>181</v>
      </c>
      <c r="J165" t="s">
        <v>174</v>
      </c>
    </row>
    <row r="166" spans="2:11" customFormat="1" x14ac:dyDescent="0.3">
      <c r="B166" s="77">
        <v>282</v>
      </c>
      <c r="C166" s="78" t="s">
        <v>178</v>
      </c>
      <c r="D166" t="s">
        <v>168</v>
      </c>
      <c r="E166" t="s">
        <v>172</v>
      </c>
      <c r="F166" t="s">
        <v>179</v>
      </c>
      <c r="G166" t="s">
        <v>171</v>
      </c>
      <c r="H166" t="s">
        <v>170</v>
      </c>
      <c r="I166" t="s">
        <v>173</v>
      </c>
      <c r="J166" t="s">
        <v>181</v>
      </c>
    </row>
    <row r="167" spans="2:11" customFormat="1" x14ac:dyDescent="0.3">
      <c r="B167" s="161">
        <v>283</v>
      </c>
      <c r="C167" s="161" t="s">
        <v>178</v>
      </c>
      <c r="D167" s="162" t="s">
        <v>168</v>
      </c>
      <c r="E167" s="162" t="s">
        <v>181</v>
      </c>
      <c r="F167" s="162" t="s">
        <v>179</v>
      </c>
      <c r="G167" s="162" t="s">
        <v>171</v>
      </c>
      <c r="H167" s="162" t="s">
        <v>172</v>
      </c>
      <c r="I167" s="162" t="s">
        <v>170</v>
      </c>
      <c r="J167" s="162" t="s">
        <v>175</v>
      </c>
      <c r="K167" s="163" t="s">
        <v>211</v>
      </c>
    </row>
    <row r="168" spans="2:11" customFormat="1" x14ac:dyDescent="0.3">
      <c r="B168" s="77">
        <v>284</v>
      </c>
      <c r="C168" s="78" t="s">
        <v>178</v>
      </c>
      <c r="D168" t="s">
        <v>168</v>
      </c>
      <c r="E168" t="s">
        <v>176</v>
      </c>
      <c r="F168" t="s">
        <v>179</v>
      </c>
      <c r="G168" t="s">
        <v>171</v>
      </c>
      <c r="H168" t="s">
        <v>172</v>
      </c>
      <c r="I168" t="s">
        <v>170</v>
      </c>
      <c r="J168" t="s">
        <v>181</v>
      </c>
    </row>
    <row r="169" spans="2:11" customFormat="1" x14ac:dyDescent="0.3">
      <c r="B169" s="77">
        <v>285</v>
      </c>
      <c r="C169" s="78" t="s">
        <v>178</v>
      </c>
      <c r="D169" t="s">
        <v>168</v>
      </c>
      <c r="E169" t="s">
        <v>181</v>
      </c>
      <c r="F169" t="s">
        <v>179</v>
      </c>
      <c r="G169" t="s">
        <v>171</v>
      </c>
      <c r="H169" t="s">
        <v>172</v>
      </c>
      <c r="I169" t="s">
        <v>170</v>
      </c>
      <c r="J169" t="s">
        <v>174</v>
      </c>
    </row>
    <row r="170" spans="2:11" customFormat="1" x14ac:dyDescent="0.3">
      <c r="B170" s="77">
        <v>286</v>
      </c>
      <c r="C170" s="78" t="s">
        <v>178</v>
      </c>
      <c r="D170" t="s">
        <v>176</v>
      </c>
      <c r="E170" t="s">
        <v>169</v>
      </c>
      <c r="F170" t="s">
        <v>171</v>
      </c>
      <c r="G170" t="s">
        <v>174</v>
      </c>
      <c r="H170" t="s">
        <v>168</v>
      </c>
      <c r="I170" t="s">
        <v>173</v>
      </c>
      <c r="J170" t="s">
        <v>175</v>
      </c>
    </row>
    <row r="171" spans="2:11" customFormat="1" x14ac:dyDescent="0.3">
      <c r="B171" s="77">
        <v>287</v>
      </c>
      <c r="C171" s="78" t="s">
        <v>178</v>
      </c>
      <c r="D171" t="s">
        <v>176</v>
      </c>
      <c r="E171" t="s">
        <v>169</v>
      </c>
      <c r="F171" t="s">
        <v>171</v>
      </c>
      <c r="G171" t="s">
        <v>174</v>
      </c>
      <c r="H171" t="s">
        <v>172</v>
      </c>
      <c r="I171" t="s">
        <v>173</v>
      </c>
      <c r="J171" t="s">
        <v>175</v>
      </c>
    </row>
    <row r="172" spans="2:11" customFormat="1" x14ac:dyDescent="0.3">
      <c r="B172" s="77">
        <v>288</v>
      </c>
      <c r="C172" s="78" t="s">
        <v>182</v>
      </c>
      <c r="D172" t="s">
        <v>176</v>
      </c>
      <c r="E172" t="s">
        <v>169</v>
      </c>
      <c r="F172" t="s">
        <v>172</v>
      </c>
      <c r="G172" t="s">
        <v>171</v>
      </c>
      <c r="H172" t="s">
        <v>168</v>
      </c>
      <c r="I172" t="s">
        <v>173</v>
      </c>
      <c r="J172" t="s">
        <v>175</v>
      </c>
    </row>
    <row r="173" spans="2:11" customFormat="1" x14ac:dyDescent="0.3">
      <c r="B173" s="77">
        <v>289</v>
      </c>
      <c r="C173" s="78" t="s">
        <v>178</v>
      </c>
      <c r="D173" t="s">
        <v>176</v>
      </c>
      <c r="E173" t="s">
        <v>169</v>
      </c>
      <c r="F173" t="s">
        <v>172</v>
      </c>
      <c r="G173" t="s">
        <v>171</v>
      </c>
      <c r="H173" t="s">
        <v>168</v>
      </c>
      <c r="I173" t="s">
        <v>173</v>
      </c>
      <c r="J173" t="s">
        <v>175</v>
      </c>
    </row>
    <row r="174" spans="2:11" customFormat="1" x14ac:dyDescent="0.3">
      <c r="B174" s="77">
        <v>290</v>
      </c>
      <c r="C174" s="78" t="s">
        <v>178</v>
      </c>
      <c r="D174" t="s">
        <v>168</v>
      </c>
      <c r="E174" t="s">
        <v>169</v>
      </c>
      <c r="F174" t="s">
        <v>171</v>
      </c>
      <c r="G174" t="s">
        <v>174</v>
      </c>
      <c r="H174" t="s">
        <v>172</v>
      </c>
      <c r="I174" t="s">
        <v>173</v>
      </c>
      <c r="J174" t="s">
        <v>175</v>
      </c>
    </row>
    <row r="175" spans="2:11" customFormat="1" x14ac:dyDescent="0.3">
      <c r="B175" s="77">
        <v>291</v>
      </c>
      <c r="C175" s="78" t="s">
        <v>178</v>
      </c>
      <c r="D175" t="s">
        <v>176</v>
      </c>
      <c r="E175" t="s">
        <v>169</v>
      </c>
      <c r="F175" t="s">
        <v>172</v>
      </c>
      <c r="G175" t="s">
        <v>171</v>
      </c>
      <c r="H175" t="s">
        <v>168</v>
      </c>
      <c r="I175" t="s">
        <v>173</v>
      </c>
      <c r="J175" t="s">
        <v>174</v>
      </c>
    </row>
    <row r="176" spans="2:11" customFormat="1" x14ac:dyDescent="0.3">
      <c r="B176" s="77">
        <v>292</v>
      </c>
      <c r="C176" s="78" t="s">
        <v>178</v>
      </c>
      <c r="D176" t="s">
        <v>176</v>
      </c>
      <c r="E176" t="s">
        <v>169</v>
      </c>
      <c r="F176" t="s">
        <v>172</v>
      </c>
      <c r="G176" t="s">
        <v>171</v>
      </c>
      <c r="H176" t="s">
        <v>168</v>
      </c>
      <c r="I176" t="s">
        <v>174</v>
      </c>
      <c r="J176" t="s">
        <v>175</v>
      </c>
    </row>
    <row r="177" spans="2:10" customFormat="1" x14ac:dyDescent="0.3">
      <c r="B177" s="77">
        <v>293</v>
      </c>
      <c r="C177" s="78" t="s">
        <v>180</v>
      </c>
      <c r="D177" t="s">
        <v>176</v>
      </c>
      <c r="E177" t="s">
        <v>169</v>
      </c>
      <c r="F177" t="s">
        <v>171</v>
      </c>
      <c r="G177" t="s">
        <v>174</v>
      </c>
      <c r="H177" t="s">
        <v>177</v>
      </c>
      <c r="I177" t="s">
        <v>173</v>
      </c>
      <c r="J177" t="s">
        <v>175</v>
      </c>
    </row>
    <row r="178" spans="2:10" customFormat="1" x14ac:dyDescent="0.3">
      <c r="B178" s="77">
        <v>294</v>
      </c>
      <c r="C178" s="78" t="s">
        <v>180</v>
      </c>
      <c r="D178" t="s">
        <v>176</v>
      </c>
      <c r="E178" t="s">
        <v>169</v>
      </c>
      <c r="F178" t="s">
        <v>171</v>
      </c>
      <c r="G178" t="s">
        <v>174</v>
      </c>
      <c r="H178" t="s">
        <v>168</v>
      </c>
      <c r="I178" t="s">
        <v>173</v>
      </c>
      <c r="J178" t="s">
        <v>175</v>
      </c>
    </row>
    <row r="179" spans="2:10" customFormat="1" x14ac:dyDescent="0.3">
      <c r="B179" s="77">
        <v>295</v>
      </c>
      <c r="C179" s="78" t="s">
        <v>180</v>
      </c>
      <c r="D179" t="s">
        <v>176</v>
      </c>
      <c r="E179" t="s">
        <v>169</v>
      </c>
      <c r="F179" t="s">
        <v>171</v>
      </c>
      <c r="G179" t="s">
        <v>177</v>
      </c>
      <c r="H179" t="s">
        <v>168</v>
      </c>
      <c r="I179" t="s">
        <v>173</v>
      </c>
      <c r="J179" t="s">
        <v>175</v>
      </c>
    </row>
    <row r="180" spans="2:10" customFormat="1" x14ac:dyDescent="0.3">
      <c r="B180" s="77">
        <v>296</v>
      </c>
      <c r="C180" s="78" t="s">
        <v>180</v>
      </c>
      <c r="D180" t="s">
        <v>168</v>
      </c>
      <c r="E180" t="s">
        <v>169</v>
      </c>
      <c r="F180" t="s">
        <v>171</v>
      </c>
      <c r="G180" t="s">
        <v>174</v>
      </c>
      <c r="H180" t="s">
        <v>177</v>
      </c>
      <c r="I180" t="s">
        <v>173</v>
      </c>
      <c r="J180" t="s">
        <v>175</v>
      </c>
    </row>
    <row r="181" spans="2:10" customFormat="1" x14ac:dyDescent="0.3">
      <c r="B181" s="77">
        <v>297</v>
      </c>
      <c r="C181" s="78" t="s">
        <v>180</v>
      </c>
      <c r="D181" t="s">
        <v>176</v>
      </c>
      <c r="E181" t="s">
        <v>169</v>
      </c>
      <c r="F181" t="s">
        <v>171</v>
      </c>
      <c r="G181" t="s">
        <v>177</v>
      </c>
      <c r="H181" t="s">
        <v>168</v>
      </c>
      <c r="I181" t="s">
        <v>173</v>
      </c>
      <c r="J181" t="s">
        <v>174</v>
      </c>
    </row>
    <row r="182" spans="2:10" customFormat="1" x14ac:dyDescent="0.3">
      <c r="B182" s="77">
        <v>298</v>
      </c>
      <c r="C182" s="78" t="s">
        <v>180</v>
      </c>
      <c r="D182" t="s">
        <v>176</v>
      </c>
      <c r="E182" t="s">
        <v>169</v>
      </c>
      <c r="F182" t="s">
        <v>171</v>
      </c>
      <c r="G182" t="s">
        <v>177</v>
      </c>
      <c r="H182" t="s">
        <v>168</v>
      </c>
      <c r="I182" t="s">
        <v>174</v>
      </c>
      <c r="J182" t="s">
        <v>175</v>
      </c>
    </row>
    <row r="183" spans="2:10" customFormat="1" x14ac:dyDescent="0.3">
      <c r="B183" s="77">
        <v>299</v>
      </c>
      <c r="C183" s="78" t="s">
        <v>180</v>
      </c>
      <c r="D183" t="s">
        <v>176</v>
      </c>
      <c r="E183" t="s">
        <v>169</v>
      </c>
      <c r="F183" t="s">
        <v>171</v>
      </c>
      <c r="G183" t="s">
        <v>174</v>
      </c>
      <c r="H183" t="s">
        <v>172</v>
      </c>
      <c r="I183" t="s">
        <v>173</v>
      </c>
      <c r="J183" t="s">
        <v>175</v>
      </c>
    </row>
    <row r="184" spans="2:10" customFormat="1" x14ac:dyDescent="0.3">
      <c r="B184" s="77">
        <v>300</v>
      </c>
      <c r="C184" s="78" t="s">
        <v>180</v>
      </c>
      <c r="D184" t="s">
        <v>176</v>
      </c>
      <c r="E184" t="s">
        <v>169</v>
      </c>
      <c r="F184" t="s">
        <v>172</v>
      </c>
      <c r="G184" t="s">
        <v>171</v>
      </c>
      <c r="H184" t="s">
        <v>177</v>
      </c>
      <c r="I184" t="s">
        <v>173</v>
      </c>
      <c r="J184" t="s">
        <v>175</v>
      </c>
    </row>
    <row r="185" spans="2:10" customFormat="1" x14ac:dyDescent="0.3">
      <c r="B185" s="77">
        <v>301</v>
      </c>
      <c r="C185" s="78" t="s">
        <v>180</v>
      </c>
      <c r="D185" t="s">
        <v>174</v>
      </c>
      <c r="E185" t="s">
        <v>169</v>
      </c>
      <c r="F185" t="s">
        <v>172</v>
      </c>
      <c r="G185" t="s">
        <v>171</v>
      </c>
      <c r="H185" t="s">
        <v>177</v>
      </c>
      <c r="I185" t="s">
        <v>173</v>
      </c>
      <c r="J185" t="s">
        <v>175</v>
      </c>
    </row>
    <row r="186" spans="2:10" customFormat="1" x14ac:dyDescent="0.3">
      <c r="B186" s="77">
        <v>302</v>
      </c>
      <c r="C186" s="78" t="s">
        <v>180</v>
      </c>
      <c r="D186" t="s">
        <v>176</v>
      </c>
      <c r="E186" t="s">
        <v>169</v>
      </c>
      <c r="F186" t="s">
        <v>172</v>
      </c>
      <c r="G186" t="s">
        <v>171</v>
      </c>
      <c r="H186" t="s">
        <v>177</v>
      </c>
      <c r="I186" t="s">
        <v>173</v>
      </c>
      <c r="J186" t="s">
        <v>174</v>
      </c>
    </row>
    <row r="187" spans="2:10" customFormat="1" x14ac:dyDescent="0.3">
      <c r="B187" s="77">
        <v>303</v>
      </c>
      <c r="C187" s="78" t="s">
        <v>180</v>
      </c>
      <c r="D187" t="s">
        <v>176</v>
      </c>
      <c r="E187" t="s">
        <v>169</v>
      </c>
      <c r="F187" t="s">
        <v>172</v>
      </c>
      <c r="G187" t="s">
        <v>171</v>
      </c>
      <c r="H187" t="s">
        <v>177</v>
      </c>
      <c r="I187" t="s">
        <v>174</v>
      </c>
      <c r="J187" t="s">
        <v>175</v>
      </c>
    </row>
    <row r="188" spans="2:10" customFormat="1" x14ac:dyDescent="0.3">
      <c r="B188" s="77">
        <v>304</v>
      </c>
      <c r="C188" s="78" t="s">
        <v>180</v>
      </c>
      <c r="D188" t="s">
        <v>176</v>
      </c>
      <c r="E188" t="s">
        <v>169</v>
      </c>
      <c r="F188" t="s">
        <v>172</v>
      </c>
      <c r="G188" t="s">
        <v>171</v>
      </c>
      <c r="H188" t="s">
        <v>168</v>
      </c>
      <c r="I188" t="s">
        <v>173</v>
      </c>
      <c r="J188" t="s">
        <v>175</v>
      </c>
    </row>
    <row r="189" spans="2:10" customFormat="1" x14ac:dyDescent="0.3">
      <c r="B189" s="77">
        <v>305</v>
      </c>
      <c r="C189" s="78" t="s">
        <v>180</v>
      </c>
      <c r="D189" t="s">
        <v>168</v>
      </c>
      <c r="E189" t="s">
        <v>169</v>
      </c>
      <c r="F189" t="s">
        <v>171</v>
      </c>
      <c r="G189" t="s">
        <v>174</v>
      </c>
      <c r="H189" t="s">
        <v>172</v>
      </c>
      <c r="I189" t="s">
        <v>173</v>
      </c>
      <c r="J189" t="s">
        <v>175</v>
      </c>
    </row>
    <row r="190" spans="2:10" customFormat="1" x14ac:dyDescent="0.3">
      <c r="B190" s="77">
        <v>306</v>
      </c>
      <c r="C190" s="78" t="s">
        <v>180</v>
      </c>
      <c r="D190" t="s">
        <v>176</v>
      </c>
      <c r="E190" t="s">
        <v>169</v>
      </c>
      <c r="F190" t="s">
        <v>172</v>
      </c>
      <c r="G190" t="s">
        <v>171</v>
      </c>
      <c r="H190" t="s">
        <v>168</v>
      </c>
      <c r="I190" t="s">
        <v>173</v>
      </c>
      <c r="J190" t="s">
        <v>174</v>
      </c>
    </row>
    <row r="191" spans="2:10" customFormat="1" x14ac:dyDescent="0.3">
      <c r="B191" s="77">
        <v>307</v>
      </c>
      <c r="C191" s="78" t="s">
        <v>180</v>
      </c>
      <c r="D191" t="s">
        <v>176</v>
      </c>
      <c r="E191" t="s">
        <v>169</v>
      </c>
      <c r="F191" t="s">
        <v>172</v>
      </c>
      <c r="G191" t="s">
        <v>171</v>
      </c>
      <c r="H191" t="s">
        <v>168</v>
      </c>
      <c r="I191" t="s">
        <v>174</v>
      </c>
      <c r="J191" t="s">
        <v>175</v>
      </c>
    </row>
    <row r="192" spans="2:10" customFormat="1" x14ac:dyDescent="0.3">
      <c r="B192" s="77">
        <v>308</v>
      </c>
      <c r="C192" s="78" t="s">
        <v>180</v>
      </c>
      <c r="D192" t="s">
        <v>168</v>
      </c>
      <c r="E192" t="s">
        <v>169</v>
      </c>
      <c r="F192" t="s">
        <v>172</v>
      </c>
      <c r="G192" t="s">
        <v>171</v>
      </c>
      <c r="H192" t="s">
        <v>177</v>
      </c>
      <c r="I192" t="s">
        <v>173</v>
      </c>
      <c r="J192" t="s">
        <v>175</v>
      </c>
    </row>
    <row r="193" spans="2:10" customFormat="1" x14ac:dyDescent="0.3">
      <c r="B193" s="77">
        <v>309</v>
      </c>
      <c r="C193" s="78" t="s">
        <v>178</v>
      </c>
      <c r="D193" t="s">
        <v>176</v>
      </c>
      <c r="E193" t="s">
        <v>169</v>
      </c>
      <c r="F193" t="s">
        <v>172</v>
      </c>
      <c r="G193" t="s">
        <v>171</v>
      </c>
      <c r="H193" t="s">
        <v>168</v>
      </c>
      <c r="I193" t="s">
        <v>173</v>
      </c>
      <c r="J193" t="s">
        <v>181</v>
      </c>
    </row>
    <row r="194" spans="2:10" customFormat="1" x14ac:dyDescent="0.3">
      <c r="B194" s="77">
        <v>310</v>
      </c>
      <c r="C194" s="78" t="s">
        <v>178</v>
      </c>
      <c r="D194" t="s">
        <v>176</v>
      </c>
      <c r="E194" t="s">
        <v>169</v>
      </c>
      <c r="F194" t="s">
        <v>172</v>
      </c>
      <c r="G194" t="s">
        <v>171</v>
      </c>
      <c r="H194" t="s">
        <v>168</v>
      </c>
      <c r="I194" t="s">
        <v>181</v>
      </c>
      <c r="J194" t="s">
        <v>175</v>
      </c>
    </row>
    <row r="195" spans="2:10" customFormat="1" x14ac:dyDescent="0.3">
      <c r="B195" s="77">
        <v>311</v>
      </c>
      <c r="C195" s="78" t="s">
        <v>180</v>
      </c>
      <c r="D195" t="s">
        <v>168</v>
      </c>
      <c r="E195" t="s">
        <v>169</v>
      </c>
      <c r="F195" t="s">
        <v>172</v>
      </c>
      <c r="G195" t="s">
        <v>171</v>
      </c>
      <c r="H195" t="s">
        <v>177</v>
      </c>
      <c r="I195" t="s">
        <v>173</v>
      </c>
      <c r="J195" t="s">
        <v>174</v>
      </c>
    </row>
    <row r="196" spans="2:10" customFormat="1" x14ac:dyDescent="0.3">
      <c r="B196" s="77">
        <v>312</v>
      </c>
      <c r="C196" s="78" t="s">
        <v>180</v>
      </c>
      <c r="D196" t="s">
        <v>168</v>
      </c>
      <c r="E196" t="s">
        <v>169</v>
      </c>
      <c r="F196" t="s">
        <v>172</v>
      </c>
      <c r="G196" t="s">
        <v>171</v>
      </c>
      <c r="H196" t="s">
        <v>177</v>
      </c>
      <c r="I196" t="s">
        <v>174</v>
      </c>
      <c r="J196" t="s">
        <v>175</v>
      </c>
    </row>
    <row r="197" spans="2:10" customFormat="1" x14ac:dyDescent="0.3">
      <c r="B197" s="77">
        <v>313</v>
      </c>
      <c r="C197" s="78" t="s">
        <v>178</v>
      </c>
      <c r="D197" t="s">
        <v>176</v>
      </c>
      <c r="E197" t="s">
        <v>169</v>
      </c>
      <c r="F197" t="s">
        <v>172</v>
      </c>
      <c r="G197" t="s">
        <v>171</v>
      </c>
      <c r="H197" t="s">
        <v>168</v>
      </c>
      <c r="I197" t="s">
        <v>181</v>
      </c>
      <c r="J197" t="s">
        <v>174</v>
      </c>
    </row>
    <row r="198" spans="2:10" customFormat="1" x14ac:dyDescent="0.3">
      <c r="B198" s="77">
        <v>314</v>
      </c>
      <c r="C198" s="78" t="s">
        <v>182</v>
      </c>
      <c r="D198" t="s">
        <v>176</v>
      </c>
      <c r="E198" t="s">
        <v>169</v>
      </c>
      <c r="F198" t="s">
        <v>170</v>
      </c>
      <c r="G198" t="s">
        <v>171</v>
      </c>
      <c r="H198" t="s">
        <v>177</v>
      </c>
      <c r="I198" t="s">
        <v>173</v>
      </c>
      <c r="J198" t="s">
        <v>175</v>
      </c>
    </row>
    <row r="199" spans="2:10" customFormat="1" x14ac:dyDescent="0.3">
      <c r="B199" s="77">
        <v>315</v>
      </c>
      <c r="C199" s="78" t="s">
        <v>182</v>
      </c>
      <c r="D199" t="s">
        <v>176</v>
      </c>
      <c r="E199" t="s">
        <v>169</v>
      </c>
      <c r="F199" t="s">
        <v>170</v>
      </c>
      <c r="G199" t="s">
        <v>171</v>
      </c>
      <c r="H199" t="s">
        <v>168</v>
      </c>
      <c r="I199" t="s">
        <v>173</v>
      </c>
      <c r="J199" t="s">
        <v>175</v>
      </c>
    </row>
    <row r="200" spans="2:10" customFormat="1" x14ac:dyDescent="0.3">
      <c r="B200" s="77">
        <v>316</v>
      </c>
      <c r="C200" s="78" t="s">
        <v>178</v>
      </c>
      <c r="D200" t="s">
        <v>176</v>
      </c>
      <c r="E200" t="s">
        <v>169</v>
      </c>
      <c r="F200" t="s">
        <v>170</v>
      </c>
      <c r="G200" t="s">
        <v>171</v>
      </c>
      <c r="H200" t="s">
        <v>168</v>
      </c>
      <c r="I200" t="s">
        <v>173</v>
      </c>
      <c r="J200" t="s">
        <v>175</v>
      </c>
    </row>
    <row r="201" spans="2:10" customFormat="1" x14ac:dyDescent="0.3">
      <c r="B201" s="77">
        <v>317</v>
      </c>
      <c r="C201" s="78" t="s">
        <v>182</v>
      </c>
      <c r="D201" t="s">
        <v>168</v>
      </c>
      <c r="E201" t="s">
        <v>169</v>
      </c>
      <c r="F201" t="s">
        <v>170</v>
      </c>
      <c r="G201" t="s">
        <v>171</v>
      </c>
      <c r="H201" t="s">
        <v>177</v>
      </c>
      <c r="I201" t="s">
        <v>173</v>
      </c>
      <c r="J201" t="s">
        <v>175</v>
      </c>
    </row>
    <row r="202" spans="2:10" customFormat="1" x14ac:dyDescent="0.3">
      <c r="B202" s="77">
        <v>318</v>
      </c>
      <c r="C202" s="78" t="s">
        <v>178</v>
      </c>
      <c r="D202" t="s">
        <v>176</v>
      </c>
      <c r="E202" t="s">
        <v>169</v>
      </c>
      <c r="F202" t="s">
        <v>170</v>
      </c>
      <c r="G202" t="s">
        <v>171</v>
      </c>
      <c r="H202" t="s">
        <v>168</v>
      </c>
      <c r="I202" t="s">
        <v>173</v>
      </c>
      <c r="J202" t="s">
        <v>174</v>
      </c>
    </row>
    <row r="203" spans="2:10" customFormat="1" x14ac:dyDescent="0.3">
      <c r="B203" s="77">
        <v>319</v>
      </c>
      <c r="C203" s="78" t="s">
        <v>178</v>
      </c>
      <c r="D203" t="s">
        <v>176</v>
      </c>
      <c r="E203" t="s">
        <v>169</v>
      </c>
      <c r="F203" t="s">
        <v>170</v>
      </c>
      <c r="G203" t="s">
        <v>171</v>
      </c>
      <c r="H203" t="s">
        <v>168</v>
      </c>
      <c r="I203" t="s">
        <v>174</v>
      </c>
      <c r="J203" t="s">
        <v>175</v>
      </c>
    </row>
    <row r="204" spans="2:10" customFormat="1" x14ac:dyDescent="0.3">
      <c r="B204" s="77">
        <v>320</v>
      </c>
      <c r="C204" s="78" t="s">
        <v>182</v>
      </c>
      <c r="D204" t="s">
        <v>176</v>
      </c>
      <c r="E204" t="s">
        <v>169</v>
      </c>
      <c r="F204" t="s">
        <v>170</v>
      </c>
      <c r="G204" t="s">
        <v>171</v>
      </c>
      <c r="H204" t="s">
        <v>172</v>
      </c>
      <c r="I204" t="s">
        <v>173</v>
      </c>
      <c r="J204" t="s">
        <v>175</v>
      </c>
    </row>
    <row r="205" spans="2:10" customFormat="1" x14ac:dyDescent="0.3">
      <c r="B205" s="77">
        <v>321</v>
      </c>
      <c r="C205" s="78" t="s">
        <v>178</v>
      </c>
      <c r="D205" t="s">
        <v>176</v>
      </c>
      <c r="E205" t="s">
        <v>169</v>
      </c>
      <c r="F205" t="s">
        <v>170</v>
      </c>
      <c r="G205" t="s">
        <v>171</v>
      </c>
      <c r="H205" t="s">
        <v>172</v>
      </c>
      <c r="I205" t="s">
        <v>173</v>
      </c>
      <c r="J205" t="s">
        <v>175</v>
      </c>
    </row>
    <row r="206" spans="2:10" customFormat="1" x14ac:dyDescent="0.3">
      <c r="B206" s="77">
        <v>322</v>
      </c>
      <c r="C206" s="78" t="s">
        <v>178</v>
      </c>
      <c r="D206" t="s">
        <v>174</v>
      </c>
      <c r="E206" t="s">
        <v>169</v>
      </c>
      <c r="F206" t="s">
        <v>170</v>
      </c>
      <c r="G206" t="s">
        <v>171</v>
      </c>
      <c r="H206" t="s">
        <v>172</v>
      </c>
      <c r="I206" t="s">
        <v>173</v>
      </c>
      <c r="J206" t="s">
        <v>175</v>
      </c>
    </row>
    <row r="207" spans="2:10" customFormat="1" x14ac:dyDescent="0.3">
      <c r="B207" s="77">
        <v>323</v>
      </c>
      <c r="C207" s="78" t="s">
        <v>178</v>
      </c>
      <c r="D207" t="s">
        <v>176</v>
      </c>
      <c r="E207" t="s">
        <v>169</v>
      </c>
      <c r="F207" t="s">
        <v>170</v>
      </c>
      <c r="G207" t="s">
        <v>171</v>
      </c>
      <c r="H207" t="s">
        <v>172</v>
      </c>
      <c r="I207" t="s">
        <v>173</v>
      </c>
      <c r="J207" t="s">
        <v>174</v>
      </c>
    </row>
    <row r="208" spans="2:10" customFormat="1" x14ac:dyDescent="0.3">
      <c r="B208" s="77">
        <v>324</v>
      </c>
      <c r="C208" s="78" t="s">
        <v>178</v>
      </c>
      <c r="D208" t="s">
        <v>176</v>
      </c>
      <c r="E208" t="s">
        <v>169</v>
      </c>
      <c r="F208" t="s">
        <v>170</v>
      </c>
      <c r="G208" t="s">
        <v>171</v>
      </c>
      <c r="H208" t="s">
        <v>172</v>
      </c>
      <c r="I208" t="s">
        <v>174</v>
      </c>
      <c r="J208" t="s">
        <v>175</v>
      </c>
    </row>
    <row r="209" spans="2:10" customFormat="1" x14ac:dyDescent="0.3">
      <c r="B209" s="77">
        <v>325</v>
      </c>
      <c r="C209" s="78" t="s">
        <v>183</v>
      </c>
      <c r="D209" t="s">
        <v>176</v>
      </c>
      <c r="E209" t="s">
        <v>169</v>
      </c>
      <c r="F209" t="s">
        <v>170</v>
      </c>
      <c r="G209" t="s">
        <v>171</v>
      </c>
      <c r="H209" t="s">
        <v>168</v>
      </c>
      <c r="I209" t="s">
        <v>173</v>
      </c>
      <c r="J209" t="s">
        <v>175</v>
      </c>
    </row>
    <row r="210" spans="2:10" customFormat="1" x14ac:dyDescent="0.3">
      <c r="B210" s="77">
        <v>326</v>
      </c>
      <c r="C210" s="78" t="s">
        <v>182</v>
      </c>
      <c r="D210" t="s">
        <v>168</v>
      </c>
      <c r="E210" t="s">
        <v>169</v>
      </c>
      <c r="F210" t="s">
        <v>170</v>
      </c>
      <c r="G210" t="s">
        <v>171</v>
      </c>
      <c r="H210" t="s">
        <v>172</v>
      </c>
      <c r="I210" t="s">
        <v>173</v>
      </c>
      <c r="J210" t="s">
        <v>175</v>
      </c>
    </row>
    <row r="211" spans="2:10" customFormat="1" x14ac:dyDescent="0.3">
      <c r="B211" s="77">
        <v>327</v>
      </c>
      <c r="C211" s="78" t="s">
        <v>183</v>
      </c>
      <c r="D211" t="s">
        <v>176</v>
      </c>
      <c r="E211" t="s">
        <v>169</v>
      </c>
      <c r="F211" t="s">
        <v>170</v>
      </c>
      <c r="G211" t="s">
        <v>171</v>
      </c>
      <c r="H211" t="s">
        <v>168</v>
      </c>
      <c r="I211" t="s">
        <v>173</v>
      </c>
      <c r="J211" t="s">
        <v>174</v>
      </c>
    </row>
    <row r="212" spans="2:10" customFormat="1" x14ac:dyDescent="0.3">
      <c r="B212" s="77">
        <v>328</v>
      </c>
      <c r="C212" s="78" t="s">
        <v>183</v>
      </c>
      <c r="D212" t="s">
        <v>176</v>
      </c>
      <c r="E212" t="s">
        <v>169</v>
      </c>
      <c r="F212" t="s">
        <v>170</v>
      </c>
      <c r="G212" t="s">
        <v>171</v>
      </c>
      <c r="H212" t="s">
        <v>168</v>
      </c>
      <c r="I212" t="s">
        <v>174</v>
      </c>
      <c r="J212" t="s">
        <v>175</v>
      </c>
    </row>
    <row r="213" spans="2:10" customFormat="1" x14ac:dyDescent="0.3">
      <c r="B213" s="77">
        <v>329</v>
      </c>
      <c r="C213" s="78" t="s">
        <v>178</v>
      </c>
      <c r="D213" t="s">
        <v>168</v>
      </c>
      <c r="E213" t="s">
        <v>169</v>
      </c>
      <c r="F213" t="s">
        <v>170</v>
      </c>
      <c r="G213" t="s">
        <v>171</v>
      </c>
      <c r="H213" t="s">
        <v>172</v>
      </c>
      <c r="I213" t="s">
        <v>173</v>
      </c>
      <c r="J213" t="s">
        <v>175</v>
      </c>
    </row>
    <row r="214" spans="2:10" customFormat="1" x14ac:dyDescent="0.3">
      <c r="B214" s="77">
        <v>330</v>
      </c>
      <c r="C214" s="78" t="s">
        <v>178</v>
      </c>
      <c r="D214" t="s">
        <v>168</v>
      </c>
      <c r="E214" t="s">
        <v>169</v>
      </c>
      <c r="F214" t="s">
        <v>170</v>
      </c>
      <c r="G214" t="s">
        <v>171</v>
      </c>
      <c r="H214" t="s">
        <v>172</v>
      </c>
      <c r="I214" t="s">
        <v>173</v>
      </c>
      <c r="J214" t="s">
        <v>176</v>
      </c>
    </row>
    <row r="215" spans="2:10" customFormat="1" x14ac:dyDescent="0.3">
      <c r="B215" s="77">
        <v>331</v>
      </c>
      <c r="C215" s="78" t="s">
        <v>178</v>
      </c>
      <c r="D215" t="s">
        <v>168</v>
      </c>
      <c r="E215" t="s">
        <v>169</v>
      </c>
      <c r="F215" t="s">
        <v>170</v>
      </c>
      <c r="G215" t="s">
        <v>171</v>
      </c>
      <c r="H215" t="s">
        <v>172</v>
      </c>
      <c r="I215" t="s">
        <v>176</v>
      </c>
      <c r="J215" t="s">
        <v>175</v>
      </c>
    </row>
    <row r="216" spans="2:10" customFormat="1" x14ac:dyDescent="0.3">
      <c r="B216" s="77">
        <v>332</v>
      </c>
      <c r="C216" s="78" t="s">
        <v>178</v>
      </c>
      <c r="D216" t="s">
        <v>168</v>
      </c>
      <c r="E216" t="s">
        <v>169</v>
      </c>
      <c r="F216" t="s">
        <v>170</v>
      </c>
      <c r="G216" t="s">
        <v>171</v>
      </c>
      <c r="H216" t="s">
        <v>172</v>
      </c>
      <c r="I216" t="s">
        <v>173</v>
      </c>
      <c r="J216" t="s">
        <v>174</v>
      </c>
    </row>
    <row r="217" spans="2:10" customFormat="1" x14ac:dyDescent="0.3">
      <c r="B217" s="77">
        <v>333</v>
      </c>
      <c r="C217" s="78" t="s">
        <v>178</v>
      </c>
      <c r="D217" t="s">
        <v>168</v>
      </c>
      <c r="E217" t="s">
        <v>169</v>
      </c>
      <c r="F217" t="s">
        <v>170</v>
      </c>
      <c r="G217" t="s">
        <v>171</v>
      </c>
      <c r="H217" t="s">
        <v>172</v>
      </c>
      <c r="I217" t="s">
        <v>174</v>
      </c>
      <c r="J217" t="s">
        <v>175</v>
      </c>
    </row>
    <row r="218" spans="2:10" customFormat="1" x14ac:dyDescent="0.3">
      <c r="B218" s="77">
        <v>334</v>
      </c>
      <c r="C218" s="78" t="s">
        <v>178</v>
      </c>
      <c r="D218" t="s">
        <v>168</v>
      </c>
      <c r="E218" t="s">
        <v>169</v>
      </c>
      <c r="F218" t="s">
        <v>170</v>
      </c>
      <c r="G218" t="s">
        <v>171</v>
      </c>
      <c r="H218" t="s">
        <v>172</v>
      </c>
      <c r="I218" t="s">
        <v>174</v>
      </c>
      <c r="J218" t="s">
        <v>176</v>
      </c>
    </row>
    <row r="219" spans="2:10" customFormat="1" x14ac:dyDescent="0.3">
      <c r="B219" s="77">
        <v>335</v>
      </c>
      <c r="C219" s="78" t="s">
        <v>180</v>
      </c>
      <c r="D219" t="s">
        <v>176</v>
      </c>
      <c r="E219" t="s">
        <v>169</v>
      </c>
      <c r="F219" t="s">
        <v>171</v>
      </c>
      <c r="G219" t="s">
        <v>174</v>
      </c>
      <c r="H219" t="s">
        <v>170</v>
      </c>
      <c r="I219" t="s">
        <v>173</v>
      </c>
      <c r="J219" t="s">
        <v>175</v>
      </c>
    </row>
    <row r="220" spans="2:10" customFormat="1" x14ac:dyDescent="0.3">
      <c r="B220" s="77">
        <v>336</v>
      </c>
      <c r="C220" s="78" t="s">
        <v>180</v>
      </c>
      <c r="D220" t="s">
        <v>176</v>
      </c>
      <c r="E220" t="s">
        <v>169</v>
      </c>
      <c r="F220" t="s">
        <v>170</v>
      </c>
      <c r="G220" t="s">
        <v>171</v>
      </c>
      <c r="H220" t="s">
        <v>177</v>
      </c>
      <c r="I220" t="s">
        <v>173</v>
      </c>
      <c r="J220" t="s">
        <v>175</v>
      </c>
    </row>
    <row r="221" spans="2:10" customFormat="1" x14ac:dyDescent="0.3">
      <c r="B221" s="77">
        <v>337</v>
      </c>
      <c r="C221" s="78" t="s">
        <v>180</v>
      </c>
      <c r="D221" t="s">
        <v>174</v>
      </c>
      <c r="E221" t="s">
        <v>169</v>
      </c>
      <c r="F221" t="s">
        <v>170</v>
      </c>
      <c r="G221" t="s">
        <v>171</v>
      </c>
      <c r="H221" t="s">
        <v>177</v>
      </c>
      <c r="I221" t="s">
        <v>173</v>
      </c>
      <c r="J221" t="s">
        <v>175</v>
      </c>
    </row>
    <row r="222" spans="2:10" customFormat="1" x14ac:dyDescent="0.3">
      <c r="B222" s="77">
        <v>222</v>
      </c>
      <c r="C222" s="78" t="s">
        <v>180</v>
      </c>
      <c r="D222" t="s">
        <v>168</v>
      </c>
      <c r="E222" t="s">
        <v>176</v>
      </c>
      <c r="F222" t="s">
        <v>179</v>
      </c>
      <c r="G222" t="s">
        <v>171</v>
      </c>
      <c r="H222" t="s">
        <v>172</v>
      </c>
      <c r="I222" t="s">
        <v>173</v>
      </c>
      <c r="J222" t="s">
        <v>174</v>
      </c>
    </row>
    <row r="223" spans="2:10" customFormat="1" x14ac:dyDescent="0.3">
      <c r="B223" s="77">
        <v>223</v>
      </c>
      <c r="C223" s="78" t="s">
        <v>180</v>
      </c>
      <c r="D223" t="s">
        <v>168</v>
      </c>
      <c r="E223" t="s">
        <v>176</v>
      </c>
      <c r="F223" t="s">
        <v>179</v>
      </c>
      <c r="G223" t="s">
        <v>171</v>
      </c>
      <c r="H223" t="s">
        <v>172</v>
      </c>
      <c r="I223" t="s">
        <v>174</v>
      </c>
      <c r="J223" t="s">
        <v>175</v>
      </c>
    </row>
    <row r="224" spans="2:10" customFormat="1" x14ac:dyDescent="0.3">
      <c r="B224" s="77">
        <v>224</v>
      </c>
      <c r="C224" s="78" t="s">
        <v>178</v>
      </c>
      <c r="D224" t="s">
        <v>168</v>
      </c>
      <c r="E224" t="s">
        <v>181</v>
      </c>
      <c r="F224" t="s">
        <v>179</v>
      </c>
      <c r="G224" t="s">
        <v>171</v>
      </c>
      <c r="H224" t="s">
        <v>172</v>
      </c>
      <c r="I224" t="s">
        <v>173</v>
      </c>
      <c r="J224" t="s">
        <v>175</v>
      </c>
    </row>
    <row r="225" spans="2:10" customFormat="1" x14ac:dyDescent="0.3">
      <c r="B225" s="77">
        <v>225</v>
      </c>
      <c r="C225" s="78" t="s">
        <v>178</v>
      </c>
      <c r="D225" t="s">
        <v>168</v>
      </c>
      <c r="E225" t="s">
        <v>176</v>
      </c>
      <c r="F225" t="s">
        <v>179</v>
      </c>
      <c r="G225" t="s">
        <v>171</v>
      </c>
      <c r="H225" t="s">
        <v>172</v>
      </c>
      <c r="I225" t="s">
        <v>173</v>
      </c>
      <c r="J225" t="s">
        <v>181</v>
      </c>
    </row>
    <row r="226" spans="2:10" customFormat="1" x14ac:dyDescent="0.3">
      <c r="B226" s="77">
        <v>226</v>
      </c>
      <c r="C226" s="78" t="s">
        <v>178</v>
      </c>
      <c r="D226" t="s">
        <v>168</v>
      </c>
      <c r="E226" t="s">
        <v>176</v>
      </c>
      <c r="F226" t="s">
        <v>179</v>
      </c>
      <c r="G226" t="s">
        <v>171</v>
      </c>
      <c r="H226" t="s">
        <v>172</v>
      </c>
      <c r="I226" t="s">
        <v>181</v>
      </c>
      <c r="J226" t="s">
        <v>175</v>
      </c>
    </row>
    <row r="227" spans="2:10" customFormat="1" x14ac:dyDescent="0.3">
      <c r="B227" s="77">
        <v>227</v>
      </c>
      <c r="C227" s="78" t="s">
        <v>178</v>
      </c>
      <c r="D227" t="s">
        <v>168</v>
      </c>
      <c r="E227" t="s">
        <v>181</v>
      </c>
      <c r="F227" t="s">
        <v>179</v>
      </c>
      <c r="G227" t="s">
        <v>171</v>
      </c>
      <c r="H227" t="s">
        <v>172</v>
      </c>
      <c r="I227" t="s">
        <v>173</v>
      </c>
      <c r="J227" t="s">
        <v>174</v>
      </c>
    </row>
    <row r="228" spans="2:10" customFormat="1" x14ac:dyDescent="0.3">
      <c r="B228" s="77">
        <v>228</v>
      </c>
      <c r="C228" s="78" t="s">
        <v>178</v>
      </c>
      <c r="D228" t="s">
        <v>168</v>
      </c>
      <c r="E228" t="s">
        <v>181</v>
      </c>
      <c r="F228" t="s">
        <v>179</v>
      </c>
      <c r="G228" t="s">
        <v>171</v>
      </c>
      <c r="H228" t="s">
        <v>172</v>
      </c>
      <c r="I228" t="s">
        <v>174</v>
      </c>
      <c r="J228" t="s">
        <v>175</v>
      </c>
    </row>
    <row r="229" spans="2:10" customFormat="1" x14ac:dyDescent="0.3">
      <c r="B229" s="77">
        <v>229</v>
      </c>
      <c r="C229" s="78" t="s">
        <v>178</v>
      </c>
      <c r="D229" t="s">
        <v>168</v>
      </c>
      <c r="E229" t="s">
        <v>176</v>
      </c>
      <c r="F229" t="s">
        <v>179</v>
      </c>
      <c r="G229" t="s">
        <v>171</v>
      </c>
      <c r="H229" t="s">
        <v>172</v>
      </c>
      <c r="I229" t="s">
        <v>181</v>
      </c>
      <c r="J229" t="s">
        <v>174</v>
      </c>
    </row>
    <row r="230" spans="2:10" customFormat="1" x14ac:dyDescent="0.3">
      <c r="B230" s="77">
        <v>230</v>
      </c>
      <c r="C230" s="78" t="s">
        <v>178</v>
      </c>
      <c r="D230" t="s">
        <v>176</v>
      </c>
      <c r="E230" t="s">
        <v>174</v>
      </c>
      <c r="F230" t="s">
        <v>179</v>
      </c>
      <c r="G230" t="s">
        <v>171</v>
      </c>
      <c r="H230" t="s">
        <v>170</v>
      </c>
      <c r="I230" t="s">
        <v>173</v>
      </c>
      <c r="J230" t="s">
        <v>175</v>
      </c>
    </row>
    <row r="231" spans="2:10" customFormat="1" x14ac:dyDescent="0.3">
      <c r="B231" s="77">
        <v>231</v>
      </c>
      <c r="C231" s="78" t="s">
        <v>182</v>
      </c>
      <c r="D231" t="s">
        <v>168</v>
      </c>
      <c r="E231" t="s">
        <v>176</v>
      </c>
      <c r="F231" t="s">
        <v>179</v>
      </c>
      <c r="G231" t="s">
        <v>171</v>
      </c>
      <c r="H231" t="s">
        <v>170</v>
      </c>
      <c r="I231" t="s">
        <v>173</v>
      </c>
      <c r="J231" t="s">
        <v>175</v>
      </c>
    </row>
    <row r="232" spans="2:10" customFormat="1" x14ac:dyDescent="0.3">
      <c r="B232" s="77">
        <v>232</v>
      </c>
      <c r="C232" s="78" t="s">
        <v>178</v>
      </c>
      <c r="D232" t="s">
        <v>168</v>
      </c>
      <c r="E232" t="s">
        <v>176</v>
      </c>
      <c r="F232" t="s">
        <v>179</v>
      </c>
      <c r="G232" t="s">
        <v>171</v>
      </c>
      <c r="H232" t="s">
        <v>170</v>
      </c>
      <c r="I232" t="s">
        <v>173</v>
      </c>
      <c r="J232" t="s">
        <v>175</v>
      </c>
    </row>
    <row r="233" spans="2:10" customFormat="1" x14ac:dyDescent="0.3">
      <c r="B233" s="77">
        <v>233</v>
      </c>
      <c r="C233" s="78" t="s">
        <v>178</v>
      </c>
      <c r="D233" t="s">
        <v>168</v>
      </c>
      <c r="E233" t="s">
        <v>174</v>
      </c>
      <c r="F233" t="s">
        <v>179</v>
      </c>
      <c r="G233" t="s">
        <v>171</v>
      </c>
      <c r="H233" t="s">
        <v>170</v>
      </c>
      <c r="I233" t="s">
        <v>173</v>
      </c>
      <c r="J233" t="s">
        <v>175</v>
      </c>
    </row>
    <row r="234" spans="2:10" customFormat="1" x14ac:dyDescent="0.3">
      <c r="B234" s="77">
        <v>234</v>
      </c>
      <c r="C234" s="78" t="s">
        <v>178</v>
      </c>
      <c r="D234" t="s">
        <v>168</v>
      </c>
      <c r="E234" t="s">
        <v>176</v>
      </c>
      <c r="F234" t="s">
        <v>179</v>
      </c>
      <c r="G234" t="s">
        <v>171</v>
      </c>
      <c r="H234" t="s">
        <v>170</v>
      </c>
      <c r="I234" t="s">
        <v>173</v>
      </c>
      <c r="J234" t="s">
        <v>174</v>
      </c>
    </row>
    <row r="235" spans="2:10" customFormat="1" x14ac:dyDescent="0.3">
      <c r="B235" s="77">
        <v>235</v>
      </c>
      <c r="C235" s="78" t="s">
        <v>178</v>
      </c>
      <c r="D235" t="s">
        <v>168</v>
      </c>
      <c r="E235" t="s">
        <v>176</v>
      </c>
      <c r="F235" t="s">
        <v>179</v>
      </c>
      <c r="G235" t="s">
        <v>171</v>
      </c>
      <c r="H235" t="s">
        <v>170</v>
      </c>
      <c r="I235" t="s">
        <v>174</v>
      </c>
      <c r="J235" t="s">
        <v>175</v>
      </c>
    </row>
    <row r="236" spans="2:10" customFormat="1" x14ac:dyDescent="0.3">
      <c r="B236" s="77">
        <v>236</v>
      </c>
      <c r="C236" s="78" t="s">
        <v>167</v>
      </c>
      <c r="D236" t="s">
        <v>176</v>
      </c>
      <c r="E236" t="s">
        <v>174</v>
      </c>
      <c r="F236" t="s">
        <v>170</v>
      </c>
      <c r="G236" t="s">
        <v>171</v>
      </c>
      <c r="H236" t="s">
        <v>172</v>
      </c>
      <c r="I236" t="s">
        <v>173</v>
      </c>
      <c r="J236" t="s">
        <v>175</v>
      </c>
    </row>
    <row r="237" spans="2:10" customFormat="1" x14ac:dyDescent="0.3">
      <c r="B237" s="77">
        <v>237</v>
      </c>
      <c r="C237" s="78" t="s">
        <v>178</v>
      </c>
      <c r="D237" t="s">
        <v>176</v>
      </c>
      <c r="E237" t="s">
        <v>172</v>
      </c>
      <c r="F237" t="s">
        <v>179</v>
      </c>
      <c r="G237" t="s">
        <v>171</v>
      </c>
      <c r="H237" t="s">
        <v>170</v>
      </c>
      <c r="I237" t="s">
        <v>173</v>
      </c>
      <c r="J237" t="s">
        <v>175</v>
      </c>
    </row>
    <row r="238" spans="2:10" customFormat="1" x14ac:dyDescent="0.3">
      <c r="B238" s="77">
        <v>238</v>
      </c>
      <c r="C238" s="78" t="s">
        <v>178</v>
      </c>
      <c r="D238" t="s">
        <v>172</v>
      </c>
      <c r="E238" t="s">
        <v>174</v>
      </c>
      <c r="F238" t="s">
        <v>179</v>
      </c>
      <c r="G238" t="s">
        <v>171</v>
      </c>
      <c r="H238" t="s">
        <v>170</v>
      </c>
      <c r="I238" t="s">
        <v>173</v>
      </c>
      <c r="J238" t="s">
        <v>175</v>
      </c>
    </row>
    <row r="239" spans="2:10" customFormat="1" x14ac:dyDescent="0.3">
      <c r="B239" s="77">
        <v>239</v>
      </c>
      <c r="C239" s="78" t="s">
        <v>178</v>
      </c>
      <c r="D239" t="s">
        <v>176</v>
      </c>
      <c r="E239" t="s">
        <v>172</v>
      </c>
      <c r="F239" t="s">
        <v>179</v>
      </c>
      <c r="G239" t="s">
        <v>171</v>
      </c>
      <c r="H239" t="s">
        <v>170</v>
      </c>
      <c r="I239" t="s">
        <v>173</v>
      </c>
      <c r="J239" t="s">
        <v>174</v>
      </c>
    </row>
    <row r="240" spans="2:10" customFormat="1" x14ac:dyDescent="0.3">
      <c r="B240" s="77">
        <v>240</v>
      </c>
      <c r="C240" s="78" t="s">
        <v>178</v>
      </c>
      <c r="D240" t="s">
        <v>176</v>
      </c>
      <c r="E240" t="s">
        <v>172</v>
      </c>
      <c r="F240" t="s">
        <v>179</v>
      </c>
      <c r="G240" t="s">
        <v>171</v>
      </c>
      <c r="H240" t="s">
        <v>170</v>
      </c>
      <c r="I240" t="s">
        <v>174</v>
      </c>
      <c r="J240" t="s">
        <v>175</v>
      </c>
    </row>
    <row r="241" spans="2:13" customFormat="1" x14ac:dyDescent="0.3">
      <c r="B241" s="77">
        <v>241</v>
      </c>
      <c r="C241" s="78" t="s">
        <v>167</v>
      </c>
      <c r="D241" t="s">
        <v>168</v>
      </c>
      <c r="E241" t="s">
        <v>176</v>
      </c>
      <c r="F241" t="s">
        <v>170</v>
      </c>
      <c r="G241" t="s">
        <v>171</v>
      </c>
      <c r="H241" t="s">
        <v>172</v>
      </c>
      <c r="I241" t="s">
        <v>173</v>
      </c>
      <c r="J241" t="s">
        <v>175</v>
      </c>
    </row>
    <row r="242" spans="2:13" customFormat="1" x14ac:dyDescent="0.3">
      <c r="B242" s="77">
        <v>242</v>
      </c>
      <c r="C242" s="78" t="s">
        <v>167</v>
      </c>
      <c r="D242" t="s">
        <v>168</v>
      </c>
      <c r="E242" t="s">
        <v>174</v>
      </c>
      <c r="F242" t="s">
        <v>170</v>
      </c>
      <c r="G242" t="s">
        <v>171</v>
      </c>
      <c r="H242" t="s">
        <v>172</v>
      </c>
      <c r="I242" t="s">
        <v>173</v>
      </c>
      <c r="J242" t="s">
        <v>175</v>
      </c>
    </row>
    <row r="243" spans="2:13" customFormat="1" x14ac:dyDescent="0.3">
      <c r="B243" s="77">
        <v>243</v>
      </c>
      <c r="C243" s="78" t="s">
        <v>167</v>
      </c>
      <c r="D243" t="s">
        <v>168</v>
      </c>
      <c r="E243" t="s">
        <v>176</v>
      </c>
      <c r="F243" t="s">
        <v>170</v>
      </c>
      <c r="G243" t="s">
        <v>171</v>
      </c>
      <c r="H243" t="s">
        <v>172</v>
      </c>
      <c r="I243" t="s">
        <v>173</v>
      </c>
      <c r="J243" t="s">
        <v>174</v>
      </c>
    </row>
    <row r="244" spans="2:13" customFormat="1" x14ac:dyDescent="0.3">
      <c r="B244" s="77">
        <v>244</v>
      </c>
      <c r="C244" s="78" t="s">
        <v>167</v>
      </c>
      <c r="D244" t="s">
        <v>168</v>
      </c>
      <c r="E244" t="s">
        <v>176</v>
      </c>
      <c r="F244" t="s">
        <v>170</v>
      </c>
      <c r="G244" t="s">
        <v>171</v>
      </c>
      <c r="H244" t="s">
        <v>172</v>
      </c>
      <c r="I244" t="s">
        <v>174</v>
      </c>
      <c r="J244" t="s">
        <v>175</v>
      </c>
    </row>
    <row r="245" spans="2:13" customFormat="1" x14ac:dyDescent="0.3">
      <c r="B245" s="77">
        <v>245</v>
      </c>
      <c r="C245" s="78" t="s">
        <v>178</v>
      </c>
      <c r="D245" t="s">
        <v>168</v>
      </c>
      <c r="E245" t="s">
        <v>172</v>
      </c>
      <c r="F245" t="s">
        <v>179</v>
      </c>
      <c r="G245" t="s">
        <v>171</v>
      </c>
      <c r="H245" t="s">
        <v>170</v>
      </c>
      <c r="I245" t="s">
        <v>173</v>
      </c>
      <c r="J245" t="s">
        <v>175</v>
      </c>
    </row>
    <row r="246" spans="2:13" customFormat="1" x14ac:dyDescent="0.3">
      <c r="B246" s="77">
        <v>246</v>
      </c>
      <c r="C246" s="78" t="s">
        <v>167</v>
      </c>
      <c r="D246" t="s">
        <v>168</v>
      </c>
      <c r="E246" t="s">
        <v>176</v>
      </c>
      <c r="F246" t="s">
        <v>170</v>
      </c>
      <c r="G246" t="s">
        <v>171</v>
      </c>
      <c r="H246" t="s">
        <v>172</v>
      </c>
      <c r="I246" t="s">
        <v>173</v>
      </c>
      <c r="J246" t="s">
        <v>177</v>
      </c>
    </row>
    <row r="247" spans="2:13" x14ac:dyDescent="0.3">
      <c r="B247" s="79">
        <v>247</v>
      </c>
      <c r="C247" s="87" t="s">
        <v>178</v>
      </c>
      <c r="D247" s="88" t="s">
        <v>168</v>
      </c>
      <c r="E247" s="88" t="s">
        <v>176</v>
      </c>
      <c r="F247" s="88" t="s">
        <v>179</v>
      </c>
      <c r="G247" s="88" t="s">
        <v>171</v>
      </c>
      <c r="H247" s="88" t="s">
        <v>172</v>
      </c>
      <c r="I247" s="88" t="s">
        <v>170</v>
      </c>
      <c r="J247" s="88" t="s">
        <v>175</v>
      </c>
      <c r="K247" s="193" t="s">
        <v>212</v>
      </c>
      <c r="L247" s="194"/>
      <c r="M247" s="195"/>
    </row>
    <row r="248" spans="2:13" customFormat="1" x14ac:dyDescent="0.3">
      <c r="B248" s="77">
        <v>248</v>
      </c>
      <c r="C248" s="78" t="s">
        <v>178</v>
      </c>
      <c r="D248" t="s">
        <v>168</v>
      </c>
      <c r="E248" t="s">
        <v>172</v>
      </c>
      <c r="F248" t="s">
        <v>179</v>
      </c>
      <c r="G248" t="s">
        <v>171</v>
      </c>
      <c r="H248" t="s">
        <v>170</v>
      </c>
      <c r="I248" t="s">
        <v>173</v>
      </c>
      <c r="J248" t="s">
        <v>174</v>
      </c>
    </row>
    <row r="249" spans="2:13" customFormat="1" x14ac:dyDescent="0.3">
      <c r="B249" s="77">
        <v>249</v>
      </c>
      <c r="C249" s="78" t="s">
        <v>178</v>
      </c>
      <c r="D249" t="s">
        <v>168</v>
      </c>
      <c r="E249" t="s">
        <v>172</v>
      </c>
      <c r="F249" t="s">
        <v>179</v>
      </c>
      <c r="G249" t="s">
        <v>171</v>
      </c>
      <c r="H249" t="s">
        <v>170</v>
      </c>
      <c r="I249" t="s">
        <v>174</v>
      </c>
      <c r="J249" t="s">
        <v>175</v>
      </c>
    </row>
    <row r="250" spans="2:13" customFormat="1" x14ac:dyDescent="0.3">
      <c r="B250" s="77">
        <v>250</v>
      </c>
      <c r="C250" s="78" t="s">
        <v>178</v>
      </c>
      <c r="D250" t="s">
        <v>168</v>
      </c>
      <c r="E250" t="s">
        <v>176</v>
      </c>
      <c r="F250" t="s">
        <v>179</v>
      </c>
      <c r="G250" t="s">
        <v>171</v>
      </c>
      <c r="H250" t="s">
        <v>172</v>
      </c>
      <c r="I250" t="s">
        <v>170</v>
      </c>
      <c r="J250" t="s">
        <v>174</v>
      </c>
    </row>
    <row r="251" spans="2:13" customFormat="1" x14ac:dyDescent="0.3">
      <c r="B251" s="77">
        <v>251</v>
      </c>
      <c r="C251" s="78" t="s">
        <v>180</v>
      </c>
      <c r="D251" t="s">
        <v>176</v>
      </c>
      <c r="E251" t="s">
        <v>174</v>
      </c>
      <c r="F251" t="s">
        <v>179</v>
      </c>
      <c r="G251" t="s">
        <v>171</v>
      </c>
      <c r="H251" t="s">
        <v>170</v>
      </c>
      <c r="I251" t="s">
        <v>173</v>
      </c>
      <c r="J251" t="s">
        <v>175</v>
      </c>
    </row>
    <row r="252" spans="2:13" customFormat="1" x14ac:dyDescent="0.3">
      <c r="B252" s="77">
        <v>252</v>
      </c>
      <c r="C252" s="78" t="s">
        <v>178</v>
      </c>
      <c r="D252" t="s">
        <v>176</v>
      </c>
      <c r="E252" t="s">
        <v>181</v>
      </c>
      <c r="F252" t="s">
        <v>179</v>
      </c>
      <c r="G252" t="s">
        <v>171</v>
      </c>
      <c r="H252" t="s">
        <v>170</v>
      </c>
      <c r="I252" t="s">
        <v>173</v>
      </c>
      <c r="J252" t="s">
        <v>175</v>
      </c>
    </row>
    <row r="253" spans="2:13" customFormat="1" x14ac:dyDescent="0.3">
      <c r="B253" s="77">
        <v>253</v>
      </c>
      <c r="C253" s="78" t="s">
        <v>178</v>
      </c>
      <c r="D253" t="s">
        <v>181</v>
      </c>
      <c r="E253" t="s">
        <v>174</v>
      </c>
      <c r="F253" t="s">
        <v>179</v>
      </c>
      <c r="G253" t="s">
        <v>171</v>
      </c>
      <c r="H253" t="s">
        <v>170</v>
      </c>
      <c r="I253" t="s">
        <v>173</v>
      </c>
      <c r="J253" t="s">
        <v>175</v>
      </c>
    </row>
    <row r="254" spans="2:13" customFormat="1" x14ac:dyDescent="0.3">
      <c r="B254" s="77">
        <v>254</v>
      </c>
      <c r="C254" s="78" t="s">
        <v>178</v>
      </c>
      <c r="D254" t="s">
        <v>176</v>
      </c>
      <c r="E254" t="s">
        <v>181</v>
      </c>
      <c r="F254" t="s">
        <v>179</v>
      </c>
      <c r="G254" t="s">
        <v>171</v>
      </c>
      <c r="H254" t="s">
        <v>170</v>
      </c>
      <c r="I254" t="s">
        <v>173</v>
      </c>
      <c r="J254" t="s">
        <v>174</v>
      </c>
    </row>
    <row r="255" spans="2:13" customFormat="1" x14ac:dyDescent="0.3">
      <c r="B255" s="77">
        <v>255</v>
      </c>
      <c r="C255" s="78" t="s">
        <v>178</v>
      </c>
      <c r="D255" t="s">
        <v>176</v>
      </c>
      <c r="E255" t="s">
        <v>181</v>
      </c>
      <c r="F255" t="s">
        <v>179</v>
      </c>
      <c r="G255" t="s">
        <v>171</v>
      </c>
      <c r="H255" t="s">
        <v>170</v>
      </c>
      <c r="I255" t="s">
        <v>174</v>
      </c>
      <c r="J255" t="s">
        <v>175</v>
      </c>
    </row>
    <row r="256" spans="2:13" customFormat="1" x14ac:dyDescent="0.3">
      <c r="B256" s="77">
        <v>256</v>
      </c>
      <c r="C256" s="78" t="s">
        <v>180</v>
      </c>
      <c r="D256" t="s">
        <v>168</v>
      </c>
      <c r="E256" t="s">
        <v>176</v>
      </c>
      <c r="F256" t="s">
        <v>179</v>
      </c>
      <c r="G256" t="s">
        <v>171</v>
      </c>
      <c r="H256" t="s">
        <v>170</v>
      </c>
      <c r="I256" t="s">
        <v>173</v>
      </c>
      <c r="J256" t="s">
        <v>175</v>
      </c>
    </row>
    <row r="257" spans="2:10" customFormat="1" x14ac:dyDescent="0.3">
      <c r="B257" s="77">
        <v>257</v>
      </c>
      <c r="C257" s="78" t="s">
        <v>180</v>
      </c>
      <c r="D257" t="s">
        <v>168</v>
      </c>
      <c r="E257" t="s">
        <v>174</v>
      </c>
      <c r="F257" t="s">
        <v>179</v>
      </c>
      <c r="G257" t="s">
        <v>171</v>
      </c>
      <c r="H257" t="s">
        <v>170</v>
      </c>
      <c r="I257" t="s">
        <v>173</v>
      </c>
      <c r="J257" t="s">
        <v>175</v>
      </c>
    </row>
    <row r="258" spans="2:10" customFormat="1" x14ac:dyDescent="0.3">
      <c r="B258" s="77">
        <v>258</v>
      </c>
      <c r="C258" s="78" t="s">
        <v>180</v>
      </c>
      <c r="D258" t="s">
        <v>168</v>
      </c>
      <c r="E258" t="s">
        <v>176</v>
      </c>
      <c r="F258" t="s">
        <v>179</v>
      </c>
      <c r="G258" t="s">
        <v>171</v>
      </c>
      <c r="H258" t="s">
        <v>170</v>
      </c>
      <c r="I258" t="s">
        <v>173</v>
      </c>
      <c r="J258" t="s">
        <v>174</v>
      </c>
    </row>
    <row r="259" spans="2:10" customFormat="1" x14ac:dyDescent="0.3">
      <c r="B259" s="77">
        <v>259</v>
      </c>
      <c r="C259" s="78" t="s">
        <v>180</v>
      </c>
      <c r="D259" t="s">
        <v>168</v>
      </c>
      <c r="E259" t="s">
        <v>176</v>
      </c>
      <c r="F259" t="s">
        <v>179</v>
      </c>
      <c r="G259" t="s">
        <v>171</v>
      </c>
      <c r="H259" t="s">
        <v>170</v>
      </c>
      <c r="I259" t="s">
        <v>174</v>
      </c>
      <c r="J259" t="s">
        <v>175</v>
      </c>
    </row>
    <row r="260" spans="2:10" customFormat="1" x14ac:dyDescent="0.3">
      <c r="B260" s="77">
        <v>260</v>
      </c>
      <c r="C260" s="78" t="s">
        <v>178</v>
      </c>
      <c r="D260" t="s">
        <v>168</v>
      </c>
      <c r="E260" t="s">
        <v>181</v>
      </c>
      <c r="F260" t="s">
        <v>179</v>
      </c>
      <c r="G260" t="s">
        <v>171</v>
      </c>
      <c r="H260" t="s">
        <v>170</v>
      </c>
      <c r="I260" t="s">
        <v>173</v>
      </c>
      <c r="J260" t="s">
        <v>175</v>
      </c>
    </row>
    <row r="261" spans="2:10" customFormat="1" x14ac:dyDescent="0.3">
      <c r="B261" s="77">
        <v>261</v>
      </c>
      <c r="C261" s="78" t="s">
        <v>178</v>
      </c>
      <c r="D261" t="s">
        <v>168</v>
      </c>
      <c r="E261" t="s">
        <v>176</v>
      </c>
      <c r="F261" t="s">
        <v>179</v>
      </c>
      <c r="G261" t="s">
        <v>171</v>
      </c>
      <c r="H261" t="s">
        <v>170</v>
      </c>
      <c r="I261" t="s">
        <v>173</v>
      </c>
      <c r="J261" t="s">
        <v>181</v>
      </c>
    </row>
    <row r="262" spans="2:10" customFormat="1" x14ac:dyDescent="0.3">
      <c r="B262" s="77">
        <v>262</v>
      </c>
      <c r="C262" s="78" t="s">
        <v>178</v>
      </c>
      <c r="D262" t="s">
        <v>168</v>
      </c>
      <c r="E262" t="s">
        <v>176</v>
      </c>
      <c r="F262" t="s">
        <v>179</v>
      </c>
      <c r="G262" t="s">
        <v>171</v>
      </c>
      <c r="H262" t="s">
        <v>170</v>
      </c>
      <c r="I262" t="s">
        <v>181</v>
      </c>
      <c r="J262" t="s">
        <v>175</v>
      </c>
    </row>
    <row r="263" spans="2:10" customFormat="1" x14ac:dyDescent="0.3">
      <c r="B263" s="77">
        <v>263</v>
      </c>
      <c r="C263" s="78" t="s">
        <v>178</v>
      </c>
      <c r="D263" t="s">
        <v>168</v>
      </c>
      <c r="E263" t="s">
        <v>181</v>
      </c>
      <c r="F263" t="s">
        <v>179</v>
      </c>
      <c r="G263" t="s">
        <v>171</v>
      </c>
      <c r="H263" t="s">
        <v>170</v>
      </c>
      <c r="I263" t="s">
        <v>173</v>
      </c>
      <c r="J263" t="s">
        <v>174</v>
      </c>
    </row>
    <row r="264" spans="2:10" customFormat="1" x14ac:dyDescent="0.3">
      <c r="B264" s="77">
        <v>264</v>
      </c>
      <c r="C264" s="78" t="s">
        <v>178</v>
      </c>
      <c r="D264" t="s">
        <v>168</v>
      </c>
      <c r="E264" t="s">
        <v>181</v>
      </c>
      <c r="F264" t="s">
        <v>179</v>
      </c>
      <c r="G264" t="s">
        <v>171</v>
      </c>
      <c r="H264" t="s">
        <v>170</v>
      </c>
      <c r="I264" t="s">
        <v>174</v>
      </c>
      <c r="J264" t="s">
        <v>175</v>
      </c>
    </row>
    <row r="265" spans="2:10" customFormat="1" x14ac:dyDescent="0.3">
      <c r="B265" s="77">
        <v>265</v>
      </c>
      <c r="C265" s="78" t="s">
        <v>178</v>
      </c>
      <c r="D265" t="s">
        <v>168</v>
      </c>
      <c r="E265" t="s">
        <v>176</v>
      </c>
      <c r="F265" t="s">
        <v>179</v>
      </c>
      <c r="G265" t="s">
        <v>171</v>
      </c>
      <c r="H265" t="s">
        <v>170</v>
      </c>
      <c r="I265" t="s">
        <v>181</v>
      </c>
      <c r="J265" t="s">
        <v>174</v>
      </c>
    </row>
    <row r="266" spans="2:10" customFormat="1" x14ac:dyDescent="0.3">
      <c r="B266" s="77">
        <v>266</v>
      </c>
      <c r="C266" s="78" t="s">
        <v>167</v>
      </c>
      <c r="D266" t="s">
        <v>176</v>
      </c>
      <c r="E266" t="s">
        <v>181</v>
      </c>
      <c r="F266" t="s">
        <v>170</v>
      </c>
      <c r="G266" t="s">
        <v>171</v>
      </c>
      <c r="H266" t="s">
        <v>172</v>
      </c>
      <c r="I266" t="s">
        <v>173</v>
      </c>
      <c r="J266" t="s">
        <v>175</v>
      </c>
    </row>
    <row r="267" spans="2:10" customFormat="1" x14ac:dyDescent="0.3">
      <c r="B267" s="77">
        <v>267</v>
      </c>
      <c r="C267" s="78" t="s">
        <v>167</v>
      </c>
      <c r="D267" t="s">
        <v>181</v>
      </c>
      <c r="E267" t="s">
        <v>174</v>
      </c>
      <c r="F267" t="s">
        <v>170</v>
      </c>
      <c r="G267" t="s">
        <v>171</v>
      </c>
      <c r="H267" t="s">
        <v>172</v>
      </c>
      <c r="I267" t="s">
        <v>173</v>
      </c>
      <c r="J267" t="s">
        <v>175</v>
      </c>
    </row>
    <row r="268" spans="2:10" customFormat="1" x14ac:dyDescent="0.3">
      <c r="B268" s="77">
        <v>268</v>
      </c>
      <c r="C268" s="78" t="s">
        <v>167</v>
      </c>
      <c r="D268" t="s">
        <v>176</v>
      </c>
      <c r="E268" t="s">
        <v>181</v>
      </c>
      <c r="F268" t="s">
        <v>170</v>
      </c>
      <c r="G268" t="s">
        <v>171</v>
      </c>
      <c r="H268" t="s">
        <v>172</v>
      </c>
      <c r="I268" t="s">
        <v>173</v>
      </c>
      <c r="J268" t="s">
        <v>174</v>
      </c>
    </row>
    <row r="269" spans="2:10" customFormat="1" x14ac:dyDescent="0.3">
      <c r="B269" s="77">
        <v>269</v>
      </c>
      <c r="C269" s="78" t="s">
        <v>167</v>
      </c>
      <c r="D269" t="s">
        <v>176</v>
      </c>
      <c r="E269" t="s">
        <v>181</v>
      </c>
      <c r="F269" t="s">
        <v>170</v>
      </c>
      <c r="G269" t="s">
        <v>171</v>
      </c>
      <c r="H269" t="s">
        <v>172</v>
      </c>
      <c r="I269" t="s">
        <v>174</v>
      </c>
      <c r="J269" t="s">
        <v>175</v>
      </c>
    </row>
    <row r="270" spans="2:10" customFormat="1" x14ac:dyDescent="0.3">
      <c r="B270" s="77">
        <v>270</v>
      </c>
      <c r="C270" s="78" t="s">
        <v>178</v>
      </c>
      <c r="D270" t="s">
        <v>181</v>
      </c>
      <c r="E270" t="s">
        <v>172</v>
      </c>
      <c r="F270" t="s">
        <v>179</v>
      </c>
      <c r="G270" t="s">
        <v>171</v>
      </c>
      <c r="H270" t="s">
        <v>170</v>
      </c>
      <c r="I270" t="s">
        <v>173</v>
      </c>
      <c r="J270" t="s">
        <v>175</v>
      </c>
    </row>
    <row r="271" spans="2:10" customFormat="1" x14ac:dyDescent="0.3">
      <c r="B271" s="77">
        <v>271</v>
      </c>
      <c r="C271" s="78" t="s">
        <v>178</v>
      </c>
      <c r="D271" t="s">
        <v>176</v>
      </c>
      <c r="E271" t="s">
        <v>172</v>
      </c>
      <c r="F271" t="s">
        <v>179</v>
      </c>
      <c r="G271" t="s">
        <v>171</v>
      </c>
      <c r="H271" t="s">
        <v>170</v>
      </c>
      <c r="I271" t="s">
        <v>173</v>
      </c>
      <c r="J271" t="s">
        <v>181</v>
      </c>
    </row>
    <row r="272" spans="2:10" customFormat="1" x14ac:dyDescent="0.3">
      <c r="B272" s="77">
        <v>272</v>
      </c>
      <c r="C272" s="78" t="s">
        <v>178</v>
      </c>
      <c r="D272" t="s">
        <v>176</v>
      </c>
      <c r="E272" t="s">
        <v>181</v>
      </c>
      <c r="F272" t="s">
        <v>179</v>
      </c>
      <c r="G272" t="s">
        <v>171</v>
      </c>
      <c r="H272" t="s">
        <v>172</v>
      </c>
      <c r="I272" t="s">
        <v>170</v>
      </c>
      <c r="J272" t="s">
        <v>175</v>
      </c>
    </row>
    <row r="273" spans="2:10" customFormat="1" x14ac:dyDescent="0.3">
      <c r="B273" s="77">
        <v>273</v>
      </c>
      <c r="C273" s="78" t="s">
        <v>178</v>
      </c>
      <c r="D273" t="s">
        <v>181</v>
      </c>
      <c r="E273" t="s">
        <v>172</v>
      </c>
      <c r="F273" t="s">
        <v>179</v>
      </c>
      <c r="G273" t="s">
        <v>171</v>
      </c>
      <c r="H273" t="s">
        <v>170</v>
      </c>
      <c r="I273" t="s">
        <v>173</v>
      </c>
      <c r="J273" t="s">
        <v>174</v>
      </c>
    </row>
    <row r="274" spans="2:10" customFormat="1" x14ac:dyDescent="0.3">
      <c r="B274" s="77">
        <v>274</v>
      </c>
      <c r="C274" s="78" t="s">
        <v>178</v>
      </c>
      <c r="D274" t="s">
        <v>181</v>
      </c>
      <c r="E274" t="s">
        <v>172</v>
      </c>
      <c r="F274" t="s">
        <v>179</v>
      </c>
      <c r="G274" t="s">
        <v>171</v>
      </c>
      <c r="H274" t="s">
        <v>170</v>
      </c>
      <c r="I274" t="s">
        <v>174</v>
      </c>
      <c r="J274" t="s">
        <v>175</v>
      </c>
    </row>
    <row r="275" spans="2:10" customFormat="1" x14ac:dyDescent="0.3">
      <c r="B275" s="77">
        <v>275</v>
      </c>
      <c r="C275" s="78" t="s">
        <v>178</v>
      </c>
      <c r="D275" t="s">
        <v>176</v>
      </c>
      <c r="E275" t="s">
        <v>181</v>
      </c>
      <c r="F275" t="s">
        <v>179</v>
      </c>
      <c r="G275" t="s">
        <v>171</v>
      </c>
      <c r="H275" t="s">
        <v>172</v>
      </c>
      <c r="I275" t="s">
        <v>170</v>
      </c>
      <c r="J275" t="s">
        <v>174</v>
      </c>
    </row>
    <row r="276" spans="2:10" customFormat="1" x14ac:dyDescent="0.3">
      <c r="B276" s="77">
        <v>276</v>
      </c>
      <c r="C276" s="78" t="s">
        <v>167</v>
      </c>
      <c r="D276" t="s">
        <v>168</v>
      </c>
      <c r="E276" t="s">
        <v>181</v>
      </c>
      <c r="F276" t="s">
        <v>170</v>
      </c>
      <c r="G276" t="s">
        <v>171</v>
      </c>
      <c r="H276" t="s">
        <v>172</v>
      </c>
      <c r="I276" t="s">
        <v>173</v>
      </c>
      <c r="J276" t="s">
        <v>175</v>
      </c>
    </row>
    <row r="277" spans="2:10" customFormat="1" x14ac:dyDescent="0.3">
      <c r="B277" s="77">
        <v>277</v>
      </c>
      <c r="C277" s="78" t="s">
        <v>167</v>
      </c>
      <c r="D277" t="s">
        <v>168</v>
      </c>
      <c r="E277" t="s">
        <v>176</v>
      </c>
      <c r="F277" t="s">
        <v>170</v>
      </c>
      <c r="G277" t="s">
        <v>171</v>
      </c>
      <c r="H277" t="s">
        <v>172</v>
      </c>
      <c r="I277" t="s">
        <v>173</v>
      </c>
      <c r="J277" t="s">
        <v>181</v>
      </c>
    </row>
    <row r="278" spans="2:10" customFormat="1" x14ac:dyDescent="0.3">
      <c r="B278" s="77">
        <v>278</v>
      </c>
      <c r="C278" s="78" t="s">
        <v>167</v>
      </c>
      <c r="D278" t="s">
        <v>168</v>
      </c>
      <c r="E278" t="s">
        <v>176</v>
      </c>
      <c r="F278" t="s">
        <v>170</v>
      </c>
      <c r="G278" t="s">
        <v>171</v>
      </c>
      <c r="H278" t="s">
        <v>172</v>
      </c>
      <c r="I278" t="s">
        <v>181</v>
      </c>
      <c r="J278" t="s">
        <v>175</v>
      </c>
    </row>
    <row r="279" spans="2:10" customFormat="1" x14ac:dyDescent="0.3">
      <c r="B279" s="77">
        <v>279</v>
      </c>
      <c r="C279" s="78" t="s">
        <v>167</v>
      </c>
      <c r="D279" t="s">
        <v>168</v>
      </c>
      <c r="E279" t="s">
        <v>181</v>
      </c>
      <c r="F279" t="s">
        <v>170</v>
      </c>
      <c r="G279" t="s">
        <v>171</v>
      </c>
      <c r="H279" t="s">
        <v>172</v>
      </c>
      <c r="I279" t="s">
        <v>173</v>
      </c>
      <c r="J279" t="s">
        <v>174</v>
      </c>
    </row>
    <row r="280" spans="2:10" customFormat="1" x14ac:dyDescent="0.3">
      <c r="B280" s="77">
        <v>164</v>
      </c>
      <c r="C280" s="78" t="s">
        <v>178</v>
      </c>
      <c r="D280" t="s">
        <v>168</v>
      </c>
      <c r="E280" t="s">
        <v>169</v>
      </c>
      <c r="F280" t="s">
        <v>179</v>
      </c>
      <c r="G280" t="s">
        <v>176</v>
      </c>
      <c r="H280" t="s">
        <v>172</v>
      </c>
      <c r="I280" t="s">
        <v>170</v>
      </c>
      <c r="J280" t="s">
        <v>181</v>
      </c>
    </row>
    <row r="281" spans="2:10" customFormat="1" x14ac:dyDescent="0.3">
      <c r="B281" s="77">
        <v>165</v>
      </c>
      <c r="C281" s="78" t="s">
        <v>167</v>
      </c>
      <c r="D281" t="s">
        <v>168</v>
      </c>
      <c r="E281" t="s">
        <v>169</v>
      </c>
      <c r="F281" t="s">
        <v>170</v>
      </c>
      <c r="G281" t="s">
        <v>177</v>
      </c>
      <c r="H281" t="s">
        <v>172</v>
      </c>
      <c r="I281" t="s">
        <v>181</v>
      </c>
      <c r="J281" t="s">
        <v>174</v>
      </c>
    </row>
    <row r="282" spans="2:10" customFormat="1" x14ac:dyDescent="0.3">
      <c r="B282" s="77">
        <v>166</v>
      </c>
      <c r="C282" s="78" t="s">
        <v>178</v>
      </c>
      <c r="D282" t="s">
        <v>176</v>
      </c>
      <c r="E282" t="s">
        <v>174</v>
      </c>
      <c r="F282" t="s">
        <v>172</v>
      </c>
      <c r="G282" t="s">
        <v>171</v>
      </c>
      <c r="H282" t="s">
        <v>168</v>
      </c>
      <c r="I282" t="s">
        <v>173</v>
      </c>
      <c r="J282" t="s">
        <v>175</v>
      </c>
    </row>
    <row r="283" spans="2:10" customFormat="1" x14ac:dyDescent="0.3">
      <c r="B283" s="77">
        <v>167</v>
      </c>
      <c r="C283" s="78" t="s">
        <v>180</v>
      </c>
      <c r="D283" t="s">
        <v>176</v>
      </c>
      <c r="E283" t="s">
        <v>174</v>
      </c>
      <c r="F283" t="s">
        <v>171</v>
      </c>
      <c r="G283" t="s">
        <v>177</v>
      </c>
      <c r="H283" t="s">
        <v>168</v>
      </c>
      <c r="I283" t="s">
        <v>173</v>
      </c>
      <c r="J283" t="s">
        <v>175</v>
      </c>
    </row>
    <row r="284" spans="2:10" customFormat="1" x14ac:dyDescent="0.3">
      <c r="B284" s="77">
        <v>168</v>
      </c>
      <c r="C284" s="78" t="s">
        <v>180</v>
      </c>
      <c r="D284" t="s">
        <v>176</v>
      </c>
      <c r="E284" t="s">
        <v>174</v>
      </c>
      <c r="F284" t="s">
        <v>172</v>
      </c>
      <c r="G284" t="s">
        <v>171</v>
      </c>
      <c r="H284" t="s">
        <v>177</v>
      </c>
      <c r="I284" t="s">
        <v>173</v>
      </c>
      <c r="J284" t="s">
        <v>175</v>
      </c>
    </row>
    <row r="285" spans="2:10" customFormat="1" x14ac:dyDescent="0.3">
      <c r="B285" s="77">
        <v>169</v>
      </c>
      <c r="C285" s="78" t="s">
        <v>180</v>
      </c>
      <c r="D285" t="s">
        <v>176</v>
      </c>
      <c r="E285" t="s">
        <v>174</v>
      </c>
      <c r="F285" t="s">
        <v>172</v>
      </c>
      <c r="G285" t="s">
        <v>171</v>
      </c>
      <c r="H285" t="s">
        <v>168</v>
      </c>
      <c r="I285" t="s">
        <v>173</v>
      </c>
      <c r="J285" t="s">
        <v>175</v>
      </c>
    </row>
    <row r="286" spans="2:10" customFormat="1" x14ac:dyDescent="0.3">
      <c r="B286" s="77">
        <v>170</v>
      </c>
      <c r="C286" s="78" t="s">
        <v>180</v>
      </c>
      <c r="D286" t="s">
        <v>168</v>
      </c>
      <c r="E286" t="s">
        <v>176</v>
      </c>
      <c r="F286" t="s">
        <v>172</v>
      </c>
      <c r="G286" t="s">
        <v>171</v>
      </c>
      <c r="H286" t="s">
        <v>177</v>
      </c>
      <c r="I286" t="s">
        <v>173</v>
      </c>
      <c r="J286" t="s">
        <v>175</v>
      </c>
    </row>
    <row r="287" spans="2:10" customFormat="1" x14ac:dyDescent="0.3">
      <c r="B287" s="77">
        <v>171</v>
      </c>
      <c r="C287" s="78" t="s">
        <v>180</v>
      </c>
      <c r="D287" t="s">
        <v>168</v>
      </c>
      <c r="E287" t="s">
        <v>174</v>
      </c>
      <c r="F287" t="s">
        <v>172</v>
      </c>
      <c r="G287" t="s">
        <v>171</v>
      </c>
      <c r="H287" t="s">
        <v>177</v>
      </c>
      <c r="I287" t="s">
        <v>173</v>
      </c>
      <c r="J287" t="s">
        <v>175</v>
      </c>
    </row>
    <row r="288" spans="2:10" customFormat="1" x14ac:dyDescent="0.3">
      <c r="B288" s="77">
        <v>172</v>
      </c>
      <c r="C288" s="78" t="s">
        <v>180</v>
      </c>
      <c r="D288" t="s">
        <v>168</v>
      </c>
      <c r="E288" t="s">
        <v>176</v>
      </c>
      <c r="F288" t="s">
        <v>172</v>
      </c>
      <c r="G288" t="s">
        <v>171</v>
      </c>
      <c r="H288" t="s">
        <v>177</v>
      </c>
      <c r="I288" t="s">
        <v>173</v>
      </c>
      <c r="J288" t="s">
        <v>174</v>
      </c>
    </row>
    <row r="289" spans="2:10" customFormat="1" x14ac:dyDescent="0.3">
      <c r="B289" s="77">
        <v>173</v>
      </c>
      <c r="C289" s="78" t="s">
        <v>180</v>
      </c>
      <c r="D289" t="s">
        <v>168</v>
      </c>
      <c r="E289" t="s">
        <v>176</v>
      </c>
      <c r="F289" t="s">
        <v>172</v>
      </c>
      <c r="G289" t="s">
        <v>171</v>
      </c>
      <c r="H289" t="s">
        <v>177</v>
      </c>
      <c r="I289" t="s">
        <v>174</v>
      </c>
      <c r="J289" t="s">
        <v>175</v>
      </c>
    </row>
    <row r="290" spans="2:10" customFormat="1" x14ac:dyDescent="0.3">
      <c r="B290" s="77">
        <v>174</v>
      </c>
      <c r="C290" s="78" t="s">
        <v>178</v>
      </c>
      <c r="D290" t="s">
        <v>176</v>
      </c>
      <c r="E290" t="s">
        <v>174</v>
      </c>
      <c r="F290" t="s">
        <v>170</v>
      </c>
      <c r="G290" t="s">
        <v>171</v>
      </c>
      <c r="H290" t="s">
        <v>168</v>
      </c>
      <c r="I290" t="s">
        <v>173</v>
      </c>
      <c r="J290" t="s">
        <v>175</v>
      </c>
    </row>
    <row r="291" spans="2:10" customFormat="1" x14ac:dyDescent="0.3">
      <c r="B291" s="77">
        <v>175</v>
      </c>
      <c r="C291" s="78" t="s">
        <v>178</v>
      </c>
      <c r="D291" t="s">
        <v>176</v>
      </c>
      <c r="E291" t="s">
        <v>174</v>
      </c>
      <c r="F291" t="s">
        <v>170</v>
      </c>
      <c r="G291" t="s">
        <v>171</v>
      </c>
      <c r="H291" t="s">
        <v>172</v>
      </c>
      <c r="I291" t="s">
        <v>173</v>
      </c>
      <c r="J291" t="s">
        <v>175</v>
      </c>
    </row>
    <row r="292" spans="2:10" customFormat="1" x14ac:dyDescent="0.3">
      <c r="B292" s="77">
        <v>176</v>
      </c>
      <c r="C292" s="78" t="s">
        <v>182</v>
      </c>
      <c r="D292" t="s">
        <v>168</v>
      </c>
      <c r="E292" t="s">
        <v>176</v>
      </c>
      <c r="F292" t="s">
        <v>170</v>
      </c>
      <c r="G292" t="s">
        <v>171</v>
      </c>
      <c r="H292" t="s">
        <v>172</v>
      </c>
      <c r="I292" t="s">
        <v>173</v>
      </c>
      <c r="J292" t="s">
        <v>175</v>
      </c>
    </row>
    <row r="293" spans="2:10" customFormat="1" x14ac:dyDescent="0.3">
      <c r="B293" s="77">
        <v>177</v>
      </c>
      <c r="C293" s="78" t="s">
        <v>178</v>
      </c>
      <c r="D293" t="s">
        <v>168</v>
      </c>
      <c r="E293" t="s">
        <v>176</v>
      </c>
      <c r="F293" t="s">
        <v>170</v>
      </c>
      <c r="G293" t="s">
        <v>171</v>
      </c>
      <c r="H293" t="s">
        <v>172</v>
      </c>
      <c r="I293" t="s">
        <v>173</v>
      </c>
      <c r="J293" t="s">
        <v>175</v>
      </c>
    </row>
    <row r="294" spans="2:10" customFormat="1" x14ac:dyDescent="0.3">
      <c r="B294" s="77">
        <v>178</v>
      </c>
      <c r="C294" s="78" t="s">
        <v>178</v>
      </c>
      <c r="D294" t="s">
        <v>168</v>
      </c>
      <c r="E294" t="s">
        <v>174</v>
      </c>
      <c r="F294" t="s">
        <v>170</v>
      </c>
      <c r="G294" t="s">
        <v>171</v>
      </c>
      <c r="H294" t="s">
        <v>172</v>
      </c>
      <c r="I294" t="s">
        <v>173</v>
      </c>
      <c r="J294" t="s">
        <v>175</v>
      </c>
    </row>
    <row r="295" spans="2:10" customFormat="1" x14ac:dyDescent="0.3">
      <c r="B295" s="77">
        <v>179</v>
      </c>
      <c r="C295" s="78" t="s">
        <v>178</v>
      </c>
      <c r="D295" t="s">
        <v>168</v>
      </c>
      <c r="E295" t="s">
        <v>176</v>
      </c>
      <c r="F295" t="s">
        <v>170</v>
      </c>
      <c r="G295" t="s">
        <v>171</v>
      </c>
      <c r="H295" t="s">
        <v>172</v>
      </c>
      <c r="I295" t="s">
        <v>173</v>
      </c>
      <c r="J295" t="s">
        <v>174</v>
      </c>
    </row>
    <row r="296" spans="2:10" customFormat="1" x14ac:dyDescent="0.3">
      <c r="B296" s="77">
        <v>180</v>
      </c>
      <c r="C296" s="78" t="s">
        <v>178</v>
      </c>
      <c r="D296" t="s">
        <v>168</v>
      </c>
      <c r="E296" t="s">
        <v>176</v>
      </c>
      <c r="F296" t="s">
        <v>170</v>
      </c>
      <c r="G296" t="s">
        <v>171</v>
      </c>
      <c r="H296" t="s">
        <v>172</v>
      </c>
      <c r="I296" t="s">
        <v>174</v>
      </c>
      <c r="J296" t="s">
        <v>175</v>
      </c>
    </row>
    <row r="297" spans="2:10" customFormat="1" x14ac:dyDescent="0.3">
      <c r="B297" s="77">
        <v>181</v>
      </c>
      <c r="C297" s="78" t="s">
        <v>180</v>
      </c>
      <c r="D297" t="s">
        <v>176</v>
      </c>
      <c r="E297" t="s">
        <v>174</v>
      </c>
      <c r="F297" t="s">
        <v>170</v>
      </c>
      <c r="G297" t="s">
        <v>171</v>
      </c>
      <c r="H297" t="s">
        <v>177</v>
      </c>
      <c r="I297" t="s">
        <v>173</v>
      </c>
      <c r="J297" t="s">
        <v>175</v>
      </c>
    </row>
    <row r="298" spans="2:10" customFormat="1" x14ac:dyDescent="0.3">
      <c r="B298" s="77">
        <v>182</v>
      </c>
      <c r="C298" s="78" t="s">
        <v>180</v>
      </c>
      <c r="D298" t="s">
        <v>176</v>
      </c>
      <c r="E298" t="s">
        <v>174</v>
      </c>
      <c r="F298" t="s">
        <v>170</v>
      </c>
      <c r="G298" t="s">
        <v>171</v>
      </c>
      <c r="H298" t="s">
        <v>168</v>
      </c>
      <c r="I298" t="s">
        <v>173</v>
      </c>
      <c r="J298" t="s">
        <v>175</v>
      </c>
    </row>
    <row r="299" spans="2:10" customFormat="1" x14ac:dyDescent="0.3">
      <c r="B299" s="77">
        <v>183</v>
      </c>
      <c r="C299" s="78" t="s">
        <v>180</v>
      </c>
      <c r="D299" t="s">
        <v>168</v>
      </c>
      <c r="E299" t="s">
        <v>176</v>
      </c>
      <c r="F299" t="s">
        <v>170</v>
      </c>
      <c r="G299" t="s">
        <v>171</v>
      </c>
      <c r="H299" t="s">
        <v>177</v>
      </c>
      <c r="I299" t="s">
        <v>173</v>
      </c>
      <c r="J299" t="s">
        <v>175</v>
      </c>
    </row>
    <row r="300" spans="2:10" customFormat="1" x14ac:dyDescent="0.3">
      <c r="B300" s="77">
        <v>184</v>
      </c>
      <c r="C300" s="78" t="s">
        <v>180</v>
      </c>
      <c r="D300" t="s">
        <v>168</v>
      </c>
      <c r="E300" t="s">
        <v>174</v>
      </c>
      <c r="F300" t="s">
        <v>170</v>
      </c>
      <c r="G300" t="s">
        <v>171</v>
      </c>
      <c r="H300" t="s">
        <v>177</v>
      </c>
      <c r="I300" t="s">
        <v>173</v>
      </c>
      <c r="J300" t="s">
        <v>175</v>
      </c>
    </row>
    <row r="301" spans="2:10" customFormat="1" x14ac:dyDescent="0.3">
      <c r="B301" s="77">
        <v>185</v>
      </c>
      <c r="C301" s="78" t="s">
        <v>180</v>
      </c>
      <c r="D301" t="s">
        <v>168</v>
      </c>
      <c r="E301" t="s">
        <v>176</v>
      </c>
      <c r="F301" t="s">
        <v>170</v>
      </c>
      <c r="G301" t="s">
        <v>171</v>
      </c>
      <c r="H301" t="s">
        <v>177</v>
      </c>
      <c r="I301" t="s">
        <v>173</v>
      </c>
      <c r="J301" t="s">
        <v>174</v>
      </c>
    </row>
    <row r="302" spans="2:10" customFormat="1" x14ac:dyDescent="0.3">
      <c r="B302" s="77">
        <v>186</v>
      </c>
      <c r="C302" s="78" t="s">
        <v>180</v>
      </c>
      <c r="D302" t="s">
        <v>168</v>
      </c>
      <c r="E302" t="s">
        <v>176</v>
      </c>
      <c r="F302" t="s">
        <v>170</v>
      </c>
      <c r="G302" t="s">
        <v>171</v>
      </c>
      <c r="H302" t="s">
        <v>177</v>
      </c>
      <c r="I302" t="s">
        <v>174</v>
      </c>
      <c r="J302" t="s">
        <v>175</v>
      </c>
    </row>
    <row r="303" spans="2:10" customFormat="1" x14ac:dyDescent="0.3">
      <c r="B303" s="77">
        <v>187</v>
      </c>
      <c r="C303" s="78" t="s">
        <v>180</v>
      </c>
      <c r="D303" t="s">
        <v>176</v>
      </c>
      <c r="E303" t="s">
        <v>174</v>
      </c>
      <c r="F303" t="s">
        <v>170</v>
      </c>
      <c r="G303" t="s">
        <v>171</v>
      </c>
      <c r="H303" t="s">
        <v>172</v>
      </c>
      <c r="I303" t="s">
        <v>173</v>
      </c>
      <c r="J303" t="s">
        <v>175</v>
      </c>
    </row>
    <row r="304" spans="2:10" customFormat="1" x14ac:dyDescent="0.3">
      <c r="B304" s="77">
        <v>188</v>
      </c>
      <c r="C304" s="78" t="s">
        <v>178</v>
      </c>
      <c r="D304" t="s">
        <v>176</v>
      </c>
      <c r="E304" t="s">
        <v>181</v>
      </c>
      <c r="F304" t="s">
        <v>170</v>
      </c>
      <c r="G304" t="s">
        <v>171</v>
      </c>
      <c r="H304" t="s">
        <v>172</v>
      </c>
      <c r="I304" t="s">
        <v>173</v>
      </c>
      <c r="J304" t="s">
        <v>175</v>
      </c>
    </row>
    <row r="305" spans="2:10" customFormat="1" x14ac:dyDescent="0.3">
      <c r="B305" s="77">
        <v>189</v>
      </c>
      <c r="C305" s="78" t="s">
        <v>178</v>
      </c>
      <c r="D305" t="s">
        <v>181</v>
      </c>
      <c r="E305" t="s">
        <v>174</v>
      </c>
      <c r="F305" t="s">
        <v>170</v>
      </c>
      <c r="G305" t="s">
        <v>171</v>
      </c>
      <c r="H305" t="s">
        <v>172</v>
      </c>
      <c r="I305" t="s">
        <v>173</v>
      </c>
      <c r="J305" t="s">
        <v>175</v>
      </c>
    </row>
    <row r="306" spans="2:10" customFormat="1" x14ac:dyDescent="0.3">
      <c r="B306" s="77">
        <v>190</v>
      </c>
      <c r="C306" s="78" t="s">
        <v>178</v>
      </c>
      <c r="D306" t="s">
        <v>176</v>
      </c>
      <c r="E306" t="s">
        <v>181</v>
      </c>
      <c r="F306" t="s">
        <v>170</v>
      </c>
      <c r="G306" t="s">
        <v>171</v>
      </c>
      <c r="H306" t="s">
        <v>172</v>
      </c>
      <c r="I306" t="s">
        <v>173</v>
      </c>
      <c r="J306" t="s">
        <v>174</v>
      </c>
    </row>
    <row r="307" spans="2:10" customFormat="1" x14ac:dyDescent="0.3">
      <c r="B307" s="77">
        <v>191</v>
      </c>
      <c r="C307" s="78" t="s">
        <v>178</v>
      </c>
      <c r="D307" t="s">
        <v>176</v>
      </c>
      <c r="E307" t="s">
        <v>181</v>
      </c>
      <c r="F307" t="s">
        <v>170</v>
      </c>
      <c r="G307" t="s">
        <v>171</v>
      </c>
      <c r="H307" t="s">
        <v>172</v>
      </c>
      <c r="I307" t="s">
        <v>174</v>
      </c>
      <c r="J307" t="s">
        <v>175</v>
      </c>
    </row>
    <row r="308" spans="2:10" customFormat="1" x14ac:dyDescent="0.3">
      <c r="B308" s="77">
        <v>192</v>
      </c>
      <c r="C308" s="78" t="s">
        <v>180</v>
      </c>
      <c r="D308" t="s">
        <v>168</v>
      </c>
      <c r="E308" t="s">
        <v>176</v>
      </c>
      <c r="F308" t="s">
        <v>170</v>
      </c>
      <c r="G308" t="s">
        <v>171</v>
      </c>
      <c r="H308" t="s">
        <v>172</v>
      </c>
      <c r="I308" t="s">
        <v>173</v>
      </c>
      <c r="J308" t="s">
        <v>175</v>
      </c>
    </row>
    <row r="309" spans="2:10" customFormat="1" x14ac:dyDescent="0.3">
      <c r="B309" s="77">
        <v>193</v>
      </c>
      <c r="C309" s="78" t="s">
        <v>180</v>
      </c>
      <c r="D309" t="s">
        <v>168</v>
      </c>
      <c r="E309" t="s">
        <v>174</v>
      </c>
      <c r="F309" t="s">
        <v>170</v>
      </c>
      <c r="G309" t="s">
        <v>171</v>
      </c>
      <c r="H309" t="s">
        <v>172</v>
      </c>
      <c r="I309" t="s">
        <v>173</v>
      </c>
      <c r="J309" t="s">
        <v>175</v>
      </c>
    </row>
    <row r="310" spans="2:10" customFormat="1" x14ac:dyDescent="0.3">
      <c r="B310" s="77">
        <v>194</v>
      </c>
      <c r="C310" s="78" t="s">
        <v>180</v>
      </c>
      <c r="D310" t="s">
        <v>168</v>
      </c>
      <c r="E310" t="s">
        <v>176</v>
      </c>
      <c r="F310" t="s">
        <v>170</v>
      </c>
      <c r="G310" t="s">
        <v>171</v>
      </c>
      <c r="H310" t="s">
        <v>172</v>
      </c>
      <c r="I310" t="s">
        <v>173</v>
      </c>
      <c r="J310" t="s">
        <v>174</v>
      </c>
    </row>
    <row r="311" spans="2:10" customFormat="1" x14ac:dyDescent="0.3">
      <c r="B311" s="77">
        <v>195</v>
      </c>
      <c r="C311" s="78" t="s">
        <v>180</v>
      </c>
      <c r="D311" t="s">
        <v>168</v>
      </c>
      <c r="E311" t="s">
        <v>176</v>
      </c>
      <c r="F311" t="s">
        <v>170</v>
      </c>
      <c r="G311" t="s">
        <v>171</v>
      </c>
      <c r="H311" t="s">
        <v>172</v>
      </c>
      <c r="I311" t="s">
        <v>174</v>
      </c>
      <c r="J311" t="s">
        <v>175</v>
      </c>
    </row>
    <row r="312" spans="2:10" customFormat="1" x14ac:dyDescent="0.3">
      <c r="B312" s="77">
        <v>196</v>
      </c>
      <c r="C312" s="78" t="s">
        <v>178</v>
      </c>
      <c r="D312" t="s">
        <v>168</v>
      </c>
      <c r="E312" t="s">
        <v>181</v>
      </c>
      <c r="F312" t="s">
        <v>170</v>
      </c>
      <c r="G312" t="s">
        <v>171</v>
      </c>
      <c r="H312" t="s">
        <v>172</v>
      </c>
      <c r="I312" t="s">
        <v>173</v>
      </c>
      <c r="J312" t="s">
        <v>175</v>
      </c>
    </row>
    <row r="313" spans="2:10" customFormat="1" x14ac:dyDescent="0.3">
      <c r="B313" s="77">
        <v>197</v>
      </c>
      <c r="C313" s="78" t="s">
        <v>178</v>
      </c>
      <c r="D313" t="s">
        <v>168</v>
      </c>
      <c r="E313" t="s">
        <v>176</v>
      </c>
      <c r="F313" t="s">
        <v>170</v>
      </c>
      <c r="G313" t="s">
        <v>171</v>
      </c>
      <c r="H313" t="s">
        <v>172</v>
      </c>
      <c r="I313" t="s">
        <v>173</v>
      </c>
      <c r="J313" t="s">
        <v>181</v>
      </c>
    </row>
    <row r="314" spans="2:10" customFormat="1" x14ac:dyDescent="0.3">
      <c r="B314" s="77">
        <v>198</v>
      </c>
      <c r="C314" s="78" t="s">
        <v>178</v>
      </c>
      <c r="D314" t="s">
        <v>168</v>
      </c>
      <c r="E314" t="s">
        <v>176</v>
      </c>
      <c r="F314" t="s">
        <v>170</v>
      </c>
      <c r="G314" t="s">
        <v>171</v>
      </c>
      <c r="H314" t="s">
        <v>172</v>
      </c>
      <c r="I314" t="s">
        <v>181</v>
      </c>
      <c r="J314" t="s">
        <v>175</v>
      </c>
    </row>
    <row r="315" spans="2:10" customFormat="1" x14ac:dyDescent="0.3">
      <c r="B315" s="77">
        <v>199</v>
      </c>
      <c r="C315" s="78" t="s">
        <v>178</v>
      </c>
      <c r="D315" t="s">
        <v>168</v>
      </c>
      <c r="E315" t="s">
        <v>181</v>
      </c>
      <c r="F315" t="s">
        <v>170</v>
      </c>
      <c r="G315" t="s">
        <v>171</v>
      </c>
      <c r="H315" t="s">
        <v>172</v>
      </c>
      <c r="I315" t="s">
        <v>173</v>
      </c>
      <c r="J315" t="s">
        <v>174</v>
      </c>
    </row>
    <row r="316" spans="2:10" customFormat="1" x14ac:dyDescent="0.3">
      <c r="B316" s="77">
        <v>200</v>
      </c>
      <c r="C316" s="78" t="s">
        <v>178</v>
      </c>
      <c r="D316" t="s">
        <v>168</v>
      </c>
      <c r="E316" t="s">
        <v>181</v>
      </c>
      <c r="F316" t="s">
        <v>170</v>
      </c>
      <c r="G316" t="s">
        <v>171</v>
      </c>
      <c r="H316" t="s">
        <v>172</v>
      </c>
      <c r="I316" t="s">
        <v>174</v>
      </c>
      <c r="J316" t="s">
        <v>175</v>
      </c>
    </row>
    <row r="317" spans="2:10" customFormat="1" x14ac:dyDescent="0.3">
      <c r="B317" s="77">
        <v>201</v>
      </c>
      <c r="C317" s="78" t="s">
        <v>178</v>
      </c>
      <c r="D317" t="s">
        <v>168</v>
      </c>
      <c r="E317" t="s">
        <v>176</v>
      </c>
      <c r="F317" t="s">
        <v>170</v>
      </c>
      <c r="G317" t="s">
        <v>171</v>
      </c>
      <c r="H317" t="s">
        <v>172</v>
      </c>
      <c r="I317" t="s">
        <v>181</v>
      </c>
      <c r="J317" t="s">
        <v>174</v>
      </c>
    </row>
    <row r="318" spans="2:10" customFormat="1" x14ac:dyDescent="0.3">
      <c r="B318" s="77">
        <v>202</v>
      </c>
      <c r="C318" s="78" t="s">
        <v>178</v>
      </c>
      <c r="D318" t="s">
        <v>176</v>
      </c>
      <c r="E318" t="s">
        <v>174</v>
      </c>
      <c r="F318" t="s">
        <v>179</v>
      </c>
      <c r="G318" t="s">
        <v>171</v>
      </c>
      <c r="H318" t="s">
        <v>168</v>
      </c>
      <c r="I318" t="s">
        <v>173</v>
      </c>
      <c r="J318" t="s">
        <v>175</v>
      </c>
    </row>
    <row r="319" spans="2:10" customFormat="1" x14ac:dyDescent="0.3">
      <c r="B319" s="77">
        <v>203</v>
      </c>
      <c r="C319" s="78" t="s">
        <v>178</v>
      </c>
      <c r="D319" t="s">
        <v>176</v>
      </c>
      <c r="E319" t="s">
        <v>174</v>
      </c>
      <c r="F319" t="s">
        <v>179</v>
      </c>
      <c r="G319" t="s">
        <v>171</v>
      </c>
      <c r="H319" t="s">
        <v>172</v>
      </c>
      <c r="I319" t="s">
        <v>173</v>
      </c>
      <c r="J319" t="s">
        <v>175</v>
      </c>
    </row>
    <row r="320" spans="2:10" customFormat="1" x14ac:dyDescent="0.3">
      <c r="B320" s="77">
        <v>204</v>
      </c>
      <c r="C320" s="78" t="s">
        <v>182</v>
      </c>
      <c r="D320" t="s">
        <v>168</v>
      </c>
      <c r="E320" t="s">
        <v>176</v>
      </c>
      <c r="F320" t="s">
        <v>179</v>
      </c>
      <c r="G320" t="s">
        <v>171</v>
      </c>
      <c r="H320" t="s">
        <v>172</v>
      </c>
      <c r="I320" t="s">
        <v>173</v>
      </c>
      <c r="J320" t="s">
        <v>175</v>
      </c>
    </row>
    <row r="321" spans="2:10" customFormat="1" x14ac:dyDescent="0.3">
      <c r="B321" s="77">
        <v>205</v>
      </c>
      <c r="C321" s="78" t="s">
        <v>178</v>
      </c>
      <c r="D321" t="s">
        <v>168</v>
      </c>
      <c r="E321" t="s">
        <v>176</v>
      </c>
      <c r="F321" t="s">
        <v>179</v>
      </c>
      <c r="G321" t="s">
        <v>171</v>
      </c>
      <c r="H321" t="s">
        <v>172</v>
      </c>
      <c r="I321" t="s">
        <v>173</v>
      </c>
      <c r="J321" t="s">
        <v>175</v>
      </c>
    </row>
    <row r="322" spans="2:10" customFormat="1" x14ac:dyDescent="0.3">
      <c r="B322" s="77">
        <v>206</v>
      </c>
      <c r="C322" s="78" t="s">
        <v>178</v>
      </c>
      <c r="D322" t="s">
        <v>168</v>
      </c>
      <c r="E322" t="s">
        <v>174</v>
      </c>
      <c r="F322" t="s">
        <v>179</v>
      </c>
      <c r="G322" t="s">
        <v>171</v>
      </c>
      <c r="H322" t="s">
        <v>172</v>
      </c>
      <c r="I322" t="s">
        <v>173</v>
      </c>
      <c r="J322" t="s">
        <v>175</v>
      </c>
    </row>
    <row r="323" spans="2:10" customFormat="1" x14ac:dyDescent="0.3">
      <c r="B323" s="77">
        <v>207</v>
      </c>
      <c r="C323" s="78" t="s">
        <v>178</v>
      </c>
      <c r="D323" t="s">
        <v>168</v>
      </c>
      <c r="E323" t="s">
        <v>176</v>
      </c>
      <c r="F323" t="s">
        <v>179</v>
      </c>
      <c r="G323" t="s">
        <v>171</v>
      </c>
      <c r="H323" t="s">
        <v>172</v>
      </c>
      <c r="I323" t="s">
        <v>173</v>
      </c>
      <c r="J323" t="s">
        <v>174</v>
      </c>
    </row>
    <row r="324" spans="2:10" customFormat="1" x14ac:dyDescent="0.3">
      <c r="B324" s="77">
        <v>208</v>
      </c>
      <c r="C324" s="78" t="s">
        <v>178</v>
      </c>
      <c r="D324" t="s">
        <v>168</v>
      </c>
      <c r="E324" t="s">
        <v>176</v>
      </c>
      <c r="F324" t="s">
        <v>179</v>
      </c>
      <c r="G324" t="s">
        <v>171</v>
      </c>
      <c r="H324" t="s">
        <v>172</v>
      </c>
      <c r="I324" t="s">
        <v>174</v>
      </c>
      <c r="J324" t="s">
        <v>175</v>
      </c>
    </row>
    <row r="325" spans="2:10" customFormat="1" x14ac:dyDescent="0.3">
      <c r="B325" s="77">
        <v>209</v>
      </c>
      <c r="C325" s="78" t="s">
        <v>180</v>
      </c>
      <c r="D325" t="s">
        <v>176</v>
      </c>
      <c r="E325" t="s">
        <v>174</v>
      </c>
      <c r="F325" t="s">
        <v>179</v>
      </c>
      <c r="G325" t="s">
        <v>171</v>
      </c>
      <c r="H325" t="s">
        <v>177</v>
      </c>
      <c r="I325" t="s">
        <v>173</v>
      </c>
      <c r="J325" t="s">
        <v>175</v>
      </c>
    </row>
    <row r="326" spans="2:10" customFormat="1" x14ac:dyDescent="0.3">
      <c r="B326" s="77">
        <v>210</v>
      </c>
      <c r="C326" s="78" t="s">
        <v>180</v>
      </c>
      <c r="D326" t="s">
        <v>176</v>
      </c>
      <c r="E326" t="s">
        <v>174</v>
      </c>
      <c r="F326" t="s">
        <v>179</v>
      </c>
      <c r="G326" t="s">
        <v>171</v>
      </c>
      <c r="H326" t="s">
        <v>168</v>
      </c>
      <c r="I326" t="s">
        <v>173</v>
      </c>
      <c r="J326" t="s">
        <v>175</v>
      </c>
    </row>
    <row r="327" spans="2:10" customFormat="1" x14ac:dyDescent="0.3">
      <c r="B327" s="77">
        <v>211</v>
      </c>
      <c r="C327" s="78" t="s">
        <v>180</v>
      </c>
      <c r="D327" t="s">
        <v>168</v>
      </c>
      <c r="E327" t="s">
        <v>176</v>
      </c>
      <c r="F327" t="s">
        <v>179</v>
      </c>
      <c r="G327" t="s">
        <v>171</v>
      </c>
      <c r="H327" t="s">
        <v>177</v>
      </c>
      <c r="I327" t="s">
        <v>173</v>
      </c>
      <c r="J327" t="s">
        <v>175</v>
      </c>
    </row>
    <row r="328" spans="2:10" customFormat="1" x14ac:dyDescent="0.3">
      <c r="B328" s="77">
        <v>212</v>
      </c>
      <c r="C328" s="78" t="s">
        <v>180</v>
      </c>
      <c r="D328" t="s">
        <v>168</v>
      </c>
      <c r="E328" t="s">
        <v>174</v>
      </c>
      <c r="F328" t="s">
        <v>179</v>
      </c>
      <c r="G328" t="s">
        <v>171</v>
      </c>
      <c r="H328" t="s">
        <v>177</v>
      </c>
      <c r="I328" t="s">
        <v>173</v>
      </c>
      <c r="J328" t="s">
        <v>175</v>
      </c>
    </row>
    <row r="329" spans="2:10" customFormat="1" x14ac:dyDescent="0.3">
      <c r="B329" s="77">
        <v>213</v>
      </c>
      <c r="C329" s="78" t="s">
        <v>180</v>
      </c>
      <c r="D329" t="s">
        <v>168</v>
      </c>
      <c r="E329" t="s">
        <v>176</v>
      </c>
      <c r="F329" t="s">
        <v>179</v>
      </c>
      <c r="G329" t="s">
        <v>171</v>
      </c>
      <c r="H329" t="s">
        <v>177</v>
      </c>
      <c r="I329" t="s">
        <v>173</v>
      </c>
      <c r="J329" t="s">
        <v>174</v>
      </c>
    </row>
    <row r="330" spans="2:10" customFormat="1" x14ac:dyDescent="0.3">
      <c r="B330" s="77">
        <v>214</v>
      </c>
      <c r="C330" s="78" t="s">
        <v>180</v>
      </c>
      <c r="D330" t="s">
        <v>168</v>
      </c>
      <c r="E330" t="s">
        <v>176</v>
      </c>
      <c r="F330" t="s">
        <v>179</v>
      </c>
      <c r="G330" t="s">
        <v>171</v>
      </c>
      <c r="H330" t="s">
        <v>177</v>
      </c>
      <c r="I330" t="s">
        <v>174</v>
      </c>
      <c r="J330" t="s">
        <v>175</v>
      </c>
    </row>
    <row r="331" spans="2:10" customFormat="1" x14ac:dyDescent="0.3">
      <c r="B331" s="77">
        <v>215</v>
      </c>
      <c r="C331" s="78" t="s">
        <v>180</v>
      </c>
      <c r="D331" t="s">
        <v>176</v>
      </c>
      <c r="E331" t="s">
        <v>174</v>
      </c>
      <c r="F331" t="s">
        <v>179</v>
      </c>
      <c r="G331" t="s">
        <v>171</v>
      </c>
      <c r="H331" t="s">
        <v>172</v>
      </c>
      <c r="I331" t="s">
        <v>173</v>
      </c>
      <c r="J331" t="s">
        <v>175</v>
      </c>
    </row>
    <row r="332" spans="2:10" customFormat="1" x14ac:dyDescent="0.3">
      <c r="B332" s="77">
        <v>216</v>
      </c>
      <c r="C332" s="78" t="s">
        <v>178</v>
      </c>
      <c r="D332" t="s">
        <v>176</v>
      </c>
      <c r="E332" t="s">
        <v>181</v>
      </c>
      <c r="F332" t="s">
        <v>179</v>
      </c>
      <c r="G332" t="s">
        <v>171</v>
      </c>
      <c r="H332" t="s">
        <v>172</v>
      </c>
      <c r="I332" t="s">
        <v>173</v>
      </c>
      <c r="J332" t="s">
        <v>175</v>
      </c>
    </row>
    <row r="333" spans="2:10" customFormat="1" x14ac:dyDescent="0.3">
      <c r="B333" s="77">
        <v>217</v>
      </c>
      <c r="C333" s="78" t="s">
        <v>178</v>
      </c>
      <c r="D333" t="s">
        <v>181</v>
      </c>
      <c r="E333" t="s">
        <v>174</v>
      </c>
      <c r="F333" t="s">
        <v>179</v>
      </c>
      <c r="G333" t="s">
        <v>171</v>
      </c>
      <c r="H333" t="s">
        <v>172</v>
      </c>
      <c r="I333" t="s">
        <v>173</v>
      </c>
      <c r="J333" t="s">
        <v>175</v>
      </c>
    </row>
    <row r="334" spans="2:10" customFormat="1" x14ac:dyDescent="0.3">
      <c r="B334" s="77">
        <v>218</v>
      </c>
      <c r="C334" s="78" t="s">
        <v>178</v>
      </c>
      <c r="D334" t="s">
        <v>176</v>
      </c>
      <c r="E334" t="s">
        <v>181</v>
      </c>
      <c r="F334" t="s">
        <v>179</v>
      </c>
      <c r="G334" t="s">
        <v>171</v>
      </c>
      <c r="H334" t="s">
        <v>172</v>
      </c>
      <c r="I334" t="s">
        <v>173</v>
      </c>
      <c r="J334" t="s">
        <v>174</v>
      </c>
    </row>
    <row r="335" spans="2:10" customFormat="1" x14ac:dyDescent="0.3">
      <c r="B335" s="77">
        <v>219</v>
      </c>
      <c r="C335" s="78" t="s">
        <v>178</v>
      </c>
      <c r="D335" t="s">
        <v>176</v>
      </c>
      <c r="E335" t="s">
        <v>181</v>
      </c>
      <c r="F335" t="s">
        <v>179</v>
      </c>
      <c r="G335" t="s">
        <v>171</v>
      </c>
      <c r="H335" t="s">
        <v>172</v>
      </c>
      <c r="I335" t="s">
        <v>174</v>
      </c>
      <c r="J335" t="s">
        <v>175</v>
      </c>
    </row>
    <row r="336" spans="2:10" customFormat="1" x14ac:dyDescent="0.3">
      <c r="B336" s="77">
        <v>220</v>
      </c>
      <c r="C336" s="78" t="s">
        <v>180</v>
      </c>
      <c r="D336" t="s">
        <v>168</v>
      </c>
      <c r="E336" t="s">
        <v>176</v>
      </c>
      <c r="F336" t="s">
        <v>179</v>
      </c>
      <c r="G336" t="s">
        <v>171</v>
      </c>
      <c r="H336" t="s">
        <v>172</v>
      </c>
      <c r="I336" t="s">
        <v>173</v>
      </c>
      <c r="J336" t="s">
        <v>175</v>
      </c>
    </row>
    <row r="337" spans="2:10" customFormat="1" x14ac:dyDescent="0.3">
      <c r="B337" s="77">
        <v>221</v>
      </c>
      <c r="C337" s="78" t="s">
        <v>180</v>
      </c>
      <c r="D337" t="s">
        <v>168</v>
      </c>
      <c r="E337" t="s">
        <v>174</v>
      </c>
      <c r="F337" t="s">
        <v>179</v>
      </c>
      <c r="G337" t="s">
        <v>171</v>
      </c>
      <c r="H337" t="s">
        <v>172</v>
      </c>
      <c r="I337" t="s">
        <v>173</v>
      </c>
      <c r="J337" t="s">
        <v>175</v>
      </c>
    </row>
    <row r="338" spans="2:10" customFormat="1" x14ac:dyDescent="0.3">
      <c r="B338" s="77">
        <v>106</v>
      </c>
      <c r="C338" s="78" t="s">
        <v>178</v>
      </c>
      <c r="D338" t="s">
        <v>168</v>
      </c>
      <c r="E338" t="s">
        <v>169</v>
      </c>
      <c r="F338" t="s">
        <v>179</v>
      </c>
      <c r="G338" t="s">
        <v>176</v>
      </c>
      <c r="H338" t="s">
        <v>172</v>
      </c>
      <c r="I338" t="s">
        <v>181</v>
      </c>
      <c r="J338" t="s">
        <v>175</v>
      </c>
    </row>
    <row r="339" spans="2:10" customFormat="1" x14ac:dyDescent="0.3">
      <c r="B339" s="77">
        <v>107</v>
      </c>
      <c r="C339" s="78" t="s">
        <v>180</v>
      </c>
      <c r="D339" t="s">
        <v>168</v>
      </c>
      <c r="E339" t="s">
        <v>169</v>
      </c>
      <c r="F339" t="s">
        <v>179</v>
      </c>
      <c r="G339" t="s">
        <v>177</v>
      </c>
      <c r="H339" t="s">
        <v>172</v>
      </c>
      <c r="I339" t="s">
        <v>173</v>
      </c>
      <c r="J339" t="s">
        <v>174</v>
      </c>
    </row>
    <row r="340" spans="2:10" customFormat="1" x14ac:dyDescent="0.3">
      <c r="B340" s="77">
        <v>108</v>
      </c>
      <c r="C340" s="78" t="s">
        <v>180</v>
      </c>
      <c r="D340" t="s">
        <v>168</v>
      </c>
      <c r="E340" t="s">
        <v>169</v>
      </c>
      <c r="F340" t="s">
        <v>179</v>
      </c>
      <c r="G340" t="s">
        <v>177</v>
      </c>
      <c r="H340" t="s">
        <v>172</v>
      </c>
      <c r="I340" t="s">
        <v>174</v>
      </c>
      <c r="J340" t="s">
        <v>175</v>
      </c>
    </row>
    <row r="341" spans="2:10" customFormat="1" x14ac:dyDescent="0.3">
      <c r="B341" s="77">
        <v>109</v>
      </c>
      <c r="C341" s="78" t="s">
        <v>178</v>
      </c>
      <c r="D341" t="s">
        <v>168</v>
      </c>
      <c r="E341" t="s">
        <v>169</v>
      </c>
      <c r="F341" t="s">
        <v>179</v>
      </c>
      <c r="G341" t="s">
        <v>176</v>
      </c>
      <c r="H341" t="s">
        <v>172</v>
      </c>
      <c r="I341" t="s">
        <v>181</v>
      </c>
      <c r="J341" t="s">
        <v>174</v>
      </c>
    </row>
    <row r="342" spans="2:10" customFormat="1" x14ac:dyDescent="0.3">
      <c r="B342" s="77">
        <v>110</v>
      </c>
      <c r="C342" s="78" t="s">
        <v>178</v>
      </c>
      <c r="D342" t="s">
        <v>176</v>
      </c>
      <c r="E342" t="s">
        <v>169</v>
      </c>
      <c r="F342" t="s">
        <v>179</v>
      </c>
      <c r="G342" t="s">
        <v>174</v>
      </c>
      <c r="H342" t="s">
        <v>170</v>
      </c>
      <c r="I342" t="s">
        <v>173</v>
      </c>
      <c r="J342" t="s">
        <v>175</v>
      </c>
    </row>
    <row r="343" spans="2:10" customFormat="1" x14ac:dyDescent="0.3">
      <c r="B343" s="77">
        <v>111</v>
      </c>
      <c r="C343" s="78" t="s">
        <v>182</v>
      </c>
      <c r="D343" t="s">
        <v>168</v>
      </c>
      <c r="E343" t="s">
        <v>169</v>
      </c>
      <c r="F343" t="s">
        <v>179</v>
      </c>
      <c r="G343" t="s">
        <v>176</v>
      </c>
      <c r="H343" t="s">
        <v>170</v>
      </c>
      <c r="I343" t="s">
        <v>173</v>
      </c>
      <c r="J343" t="s">
        <v>175</v>
      </c>
    </row>
    <row r="344" spans="2:10" customFormat="1" x14ac:dyDescent="0.3">
      <c r="B344" s="77">
        <v>112</v>
      </c>
      <c r="C344" s="78" t="s">
        <v>178</v>
      </c>
      <c r="D344" t="s">
        <v>168</v>
      </c>
      <c r="E344" t="s">
        <v>169</v>
      </c>
      <c r="F344" t="s">
        <v>179</v>
      </c>
      <c r="G344" t="s">
        <v>176</v>
      </c>
      <c r="H344" t="s">
        <v>170</v>
      </c>
      <c r="I344" t="s">
        <v>173</v>
      </c>
      <c r="J344" t="s">
        <v>175</v>
      </c>
    </row>
    <row r="345" spans="2:10" customFormat="1" x14ac:dyDescent="0.3">
      <c r="B345" s="77">
        <v>113</v>
      </c>
      <c r="C345" s="78" t="s">
        <v>178</v>
      </c>
      <c r="D345" t="s">
        <v>168</v>
      </c>
      <c r="E345" t="s">
        <v>169</v>
      </c>
      <c r="F345" t="s">
        <v>179</v>
      </c>
      <c r="G345" t="s">
        <v>174</v>
      </c>
      <c r="H345" t="s">
        <v>170</v>
      </c>
      <c r="I345" t="s">
        <v>173</v>
      </c>
      <c r="J345" t="s">
        <v>175</v>
      </c>
    </row>
    <row r="346" spans="2:10" customFormat="1" x14ac:dyDescent="0.3">
      <c r="B346" s="77">
        <v>114</v>
      </c>
      <c r="C346" s="78" t="s">
        <v>178</v>
      </c>
      <c r="D346" t="s">
        <v>168</v>
      </c>
      <c r="E346" t="s">
        <v>169</v>
      </c>
      <c r="F346" t="s">
        <v>179</v>
      </c>
      <c r="G346" t="s">
        <v>176</v>
      </c>
      <c r="H346" t="s">
        <v>170</v>
      </c>
      <c r="I346" t="s">
        <v>173</v>
      </c>
      <c r="J346" t="s">
        <v>174</v>
      </c>
    </row>
    <row r="347" spans="2:10" customFormat="1" x14ac:dyDescent="0.3">
      <c r="B347" s="77">
        <v>115</v>
      </c>
      <c r="C347" s="78" t="s">
        <v>178</v>
      </c>
      <c r="D347" t="s">
        <v>168</v>
      </c>
      <c r="E347" t="s">
        <v>169</v>
      </c>
      <c r="F347" t="s">
        <v>179</v>
      </c>
      <c r="G347" t="s">
        <v>176</v>
      </c>
      <c r="H347" t="s">
        <v>170</v>
      </c>
      <c r="I347" t="s">
        <v>174</v>
      </c>
      <c r="J347" t="s">
        <v>175</v>
      </c>
    </row>
    <row r="348" spans="2:10" customFormat="1" x14ac:dyDescent="0.3">
      <c r="B348" s="77">
        <v>116</v>
      </c>
      <c r="C348" s="78" t="s">
        <v>167</v>
      </c>
      <c r="D348" t="s">
        <v>176</v>
      </c>
      <c r="E348" t="s">
        <v>169</v>
      </c>
      <c r="F348" t="s">
        <v>170</v>
      </c>
      <c r="G348" t="s">
        <v>174</v>
      </c>
      <c r="H348" t="s">
        <v>172</v>
      </c>
      <c r="I348" t="s">
        <v>173</v>
      </c>
      <c r="J348" t="s">
        <v>175</v>
      </c>
    </row>
    <row r="349" spans="2:10" customFormat="1" x14ac:dyDescent="0.3">
      <c r="B349" s="77">
        <v>117</v>
      </c>
      <c r="C349" s="78" t="s">
        <v>167</v>
      </c>
      <c r="D349" t="s">
        <v>176</v>
      </c>
      <c r="E349" t="s">
        <v>169</v>
      </c>
      <c r="F349" t="s">
        <v>170</v>
      </c>
      <c r="G349" t="s">
        <v>177</v>
      </c>
      <c r="H349" t="s">
        <v>172</v>
      </c>
      <c r="I349" t="s">
        <v>173</v>
      </c>
      <c r="J349" t="s">
        <v>175</v>
      </c>
    </row>
    <row r="350" spans="2:10" customFormat="1" x14ac:dyDescent="0.3">
      <c r="B350" s="77">
        <v>118</v>
      </c>
      <c r="C350" s="78" t="s">
        <v>167</v>
      </c>
      <c r="D350" t="s">
        <v>174</v>
      </c>
      <c r="E350" t="s">
        <v>169</v>
      </c>
      <c r="F350" t="s">
        <v>170</v>
      </c>
      <c r="G350" t="s">
        <v>177</v>
      </c>
      <c r="H350" t="s">
        <v>172</v>
      </c>
      <c r="I350" t="s">
        <v>173</v>
      </c>
      <c r="J350" t="s">
        <v>175</v>
      </c>
    </row>
    <row r="351" spans="2:10" customFormat="1" x14ac:dyDescent="0.3">
      <c r="B351" s="77">
        <v>119</v>
      </c>
      <c r="C351" s="78" t="s">
        <v>167</v>
      </c>
      <c r="D351" t="s">
        <v>176</v>
      </c>
      <c r="E351" t="s">
        <v>169</v>
      </c>
      <c r="F351" t="s">
        <v>170</v>
      </c>
      <c r="G351" t="s">
        <v>177</v>
      </c>
      <c r="H351" t="s">
        <v>172</v>
      </c>
      <c r="I351" t="s">
        <v>173</v>
      </c>
      <c r="J351" t="s">
        <v>174</v>
      </c>
    </row>
    <row r="352" spans="2:10" customFormat="1" x14ac:dyDescent="0.3">
      <c r="B352" s="77">
        <v>120</v>
      </c>
      <c r="C352" s="78" t="s">
        <v>167</v>
      </c>
      <c r="D352" t="s">
        <v>176</v>
      </c>
      <c r="E352" t="s">
        <v>169</v>
      </c>
      <c r="F352" t="s">
        <v>170</v>
      </c>
      <c r="G352" t="s">
        <v>177</v>
      </c>
      <c r="H352" t="s">
        <v>172</v>
      </c>
      <c r="I352" t="s">
        <v>174</v>
      </c>
      <c r="J352" t="s">
        <v>175</v>
      </c>
    </row>
    <row r="353" spans="2:10" customFormat="1" x14ac:dyDescent="0.3">
      <c r="B353" s="77">
        <v>121</v>
      </c>
      <c r="C353" s="78" t="s">
        <v>167</v>
      </c>
      <c r="D353" t="s">
        <v>168</v>
      </c>
      <c r="E353" t="s">
        <v>169</v>
      </c>
      <c r="F353" t="s">
        <v>170</v>
      </c>
      <c r="G353" t="s">
        <v>176</v>
      </c>
      <c r="H353" t="s">
        <v>172</v>
      </c>
      <c r="I353" t="s">
        <v>173</v>
      </c>
      <c r="J353" t="s">
        <v>175</v>
      </c>
    </row>
    <row r="354" spans="2:10" customFormat="1" x14ac:dyDescent="0.3">
      <c r="B354" s="77">
        <v>122</v>
      </c>
      <c r="C354" s="78" t="s">
        <v>167</v>
      </c>
      <c r="D354" t="s">
        <v>168</v>
      </c>
      <c r="E354" t="s">
        <v>169</v>
      </c>
      <c r="F354" t="s">
        <v>170</v>
      </c>
      <c r="G354" t="s">
        <v>174</v>
      </c>
      <c r="H354" t="s">
        <v>172</v>
      </c>
      <c r="I354" t="s">
        <v>173</v>
      </c>
      <c r="J354" t="s">
        <v>175</v>
      </c>
    </row>
    <row r="355" spans="2:10" customFormat="1" x14ac:dyDescent="0.3">
      <c r="B355" s="77">
        <v>123</v>
      </c>
      <c r="C355" s="78" t="s">
        <v>167</v>
      </c>
      <c r="D355" t="s">
        <v>168</v>
      </c>
      <c r="E355" t="s">
        <v>169</v>
      </c>
      <c r="F355" t="s">
        <v>170</v>
      </c>
      <c r="G355" t="s">
        <v>176</v>
      </c>
      <c r="H355" t="s">
        <v>172</v>
      </c>
      <c r="I355" t="s">
        <v>173</v>
      </c>
      <c r="J355" t="s">
        <v>174</v>
      </c>
    </row>
    <row r="356" spans="2:10" customFormat="1" x14ac:dyDescent="0.3">
      <c r="B356" s="77">
        <v>124</v>
      </c>
      <c r="C356" s="78" t="s">
        <v>167</v>
      </c>
      <c r="D356" t="s">
        <v>168</v>
      </c>
      <c r="E356" t="s">
        <v>169</v>
      </c>
      <c r="F356" t="s">
        <v>170</v>
      </c>
      <c r="G356" t="s">
        <v>176</v>
      </c>
      <c r="H356" t="s">
        <v>172</v>
      </c>
      <c r="I356" t="s">
        <v>174</v>
      </c>
      <c r="J356" t="s">
        <v>175</v>
      </c>
    </row>
    <row r="357" spans="2:10" customFormat="1" x14ac:dyDescent="0.3">
      <c r="B357" s="77">
        <v>125</v>
      </c>
      <c r="C357" s="78" t="s">
        <v>167</v>
      </c>
      <c r="D357" t="s">
        <v>168</v>
      </c>
      <c r="E357" t="s">
        <v>169</v>
      </c>
      <c r="F357" t="s">
        <v>170</v>
      </c>
      <c r="G357" t="s">
        <v>177</v>
      </c>
      <c r="H357" t="s">
        <v>172</v>
      </c>
      <c r="I357" t="s">
        <v>173</v>
      </c>
      <c r="J357" t="s">
        <v>175</v>
      </c>
    </row>
    <row r="358" spans="2:10" customFormat="1" x14ac:dyDescent="0.3">
      <c r="B358" s="77">
        <v>126</v>
      </c>
      <c r="C358" s="78" t="s">
        <v>167</v>
      </c>
      <c r="D358" t="s">
        <v>168</v>
      </c>
      <c r="E358" t="s">
        <v>169</v>
      </c>
      <c r="F358" t="s">
        <v>170</v>
      </c>
      <c r="G358" t="s">
        <v>177</v>
      </c>
      <c r="H358" t="s">
        <v>172</v>
      </c>
      <c r="I358" t="s">
        <v>173</v>
      </c>
      <c r="J358" t="s">
        <v>176</v>
      </c>
    </row>
    <row r="359" spans="2:10" customFormat="1" x14ac:dyDescent="0.3">
      <c r="B359" s="77">
        <v>127</v>
      </c>
      <c r="C359" s="78" t="s">
        <v>178</v>
      </c>
      <c r="D359" t="s">
        <v>168</v>
      </c>
      <c r="E359" t="s">
        <v>169</v>
      </c>
      <c r="F359" t="s">
        <v>179</v>
      </c>
      <c r="G359" t="s">
        <v>176</v>
      </c>
      <c r="H359" t="s">
        <v>172</v>
      </c>
      <c r="I359" t="s">
        <v>170</v>
      </c>
      <c r="J359" t="s">
        <v>175</v>
      </c>
    </row>
    <row r="360" spans="2:10" customFormat="1" x14ac:dyDescent="0.3">
      <c r="B360" s="77">
        <v>128</v>
      </c>
      <c r="C360" s="78" t="s">
        <v>167</v>
      </c>
      <c r="D360" t="s">
        <v>168</v>
      </c>
      <c r="E360" t="s">
        <v>169</v>
      </c>
      <c r="F360" t="s">
        <v>170</v>
      </c>
      <c r="G360" t="s">
        <v>177</v>
      </c>
      <c r="H360" t="s">
        <v>172</v>
      </c>
      <c r="I360" t="s">
        <v>173</v>
      </c>
      <c r="J360" t="s">
        <v>174</v>
      </c>
    </row>
    <row r="361" spans="2:10" customFormat="1" x14ac:dyDescent="0.3">
      <c r="B361" s="77">
        <v>129</v>
      </c>
      <c r="C361" s="78" t="s">
        <v>167</v>
      </c>
      <c r="D361" t="s">
        <v>168</v>
      </c>
      <c r="E361" t="s">
        <v>169</v>
      </c>
      <c r="F361" t="s">
        <v>170</v>
      </c>
      <c r="G361" t="s">
        <v>177</v>
      </c>
      <c r="H361" t="s">
        <v>172</v>
      </c>
      <c r="I361" t="s">
        <v>174</v>
      </c>
      <c r="J361" t="s">
        <v>175</v>
      </c>
    </row>
    <row r="362" spans="2:10" customFormat="1" x14ac:dyDescent="0.3">
      <c r="B362" s="77">
        <v>130</v>
      </c>
      <c r="C362" s="78" t="s">
        <v>178</v>
      </c>
      <c r="D362" t="s">
        <v>168</v>
      </c>
      <c r="E362" t="s">
        <v>169</v>
      </c>
      <c r="F362" t="s">
        <v>179</v>
      </c>
      <c r="G362" t="s">
        <v>176</v>
      </c>
      <c r="H362" t="s">
        <v>172</v>
      </c>
      <c r="I362" t="s">
        <v>170</v>
      </c>
      <c r="J362" t="s">
        <v>174</v>
      </c>
    </row>
    <row r="363" spans="2:10" customFormat="1" x14ac:dyDescent="0.3">
      <c r="B363" s="77">
        <v>131</v>
      </c>
      <c r="C363" s="78" t="s">
        <v>180</v>
      </c>
      <c r="D363" t="s">
        <v>176</v>
      </c>
      <c r="E363" t="s">
        <v>169</v>
      </c>
      <c r="F363" t="s">
        <v>179</v>
      </c>
      <c r="G363" t="s">
        <v>174</v>
      </c>
      <c r="H363" t="s">
        <v>170</v>
      </c>
      <c r="I363" t="s">
        <v>173</v>
      </c>
      <c r="J363" t="s">
        <v>175</v>
      </c>
    </row>
    <row r="364" spans="2:10" customFormat="1" x14ac:dyDescent="0.3">
      <c r="B364" s="77">
        <v>132</v>
      </c>
      <c r="C364" s="78" t="s">
        <v>180</v>
      </c>
      <c r="D364" t="s">
        <v>176</v>
      </c>
      <c r="E364" t="s">
        <v>169</v>
      </c>
      <c r="F364" t="s">
        <v>179</v>
      </c>
      <c r="G364" t="s">
        <v>177</v>
      </c>
      <c r="H364" t="s">
        <v>170</v>
      </c>
      <c r="I364" t="s">
        <v>173</v>
      </c>
      <c r="J364" t="s">
        <v>175</v>
      </c>
    </row>
    <row r="365" spans="2:10" customFormat="1" x14ac:dyDescent="0.3">
      <c r="B365" s="77">
        <v>133</v>
      </c>
      <c r="C365" s="78" t="s">
        <v>180</v>
      </c>
      <c r="D365" t="s">
        <v>174</v>
      </c>
      <c r="E365" t="s">
        <v>169</v>
      </c>
      <c r="F365" t="s">
        <v>179</v>
      </c>
      <c r="G365" t="s">
        <v>177</v>
      </c>
      <c r="H365" t="s">
        <v>170</v>
      </c>
      <c r="I365" t="s">
        <v>173</v>
      </c>
      <c r="J365" t="s">
        <v>175</v>
      </c>
    </row>
    <row r="366" spans="2:10" customFormat="1" x14ac:dyDescent="0.3">
      <c r="B366" s="77">
        <v>134</v>
      </c>
      <c r="C366" s="78" t="s">
        <v>180</v>
      </c>
      <c r="D366" t="s">
        <v>176</v>
      </c>
      <c r="E366" t="s">
        <v>169</v>
      </c>
      <c r="F366" t="s">
        <v>179</v>
      </c>
      <c r="G366" t="s">
        <v>177</v>
      </c>
      <c r="H366" t="s">
        <v>170</v>
      </c>
      <c r="I366" t="s">
        <v>173</v>
      </c>
      <c r="J366" t="s">
        <v>174</v>
      </c>
    </row>
    <row r="367" spans="2:10" customFormat="1" x14ac:dyDescent="0.3">
      <c r="B367" s="77">
        <v>135</v>
      </c>
      <c r="C367" s="78" t="s">
        <v>180</v>
      </c>
      <c r="D367" t="s">
        <v>176</v>
      </c>
      <c r="E367" t="s">
        <v>169</v>
      </c>
      <c r="F367" t="s">
        <v>179</v>
      </c>
      <c r="G367" t="s">
        <v>177</v>
      </c>
      <c r="H367" t="s">
        <v>170</v>
      </c>
      <c r="I367" t="s">
        <v>174</v>
      </c>
      <c r="J367" t="s">
        <v>175</v>
      </c>
    </row>
    <row r="368" spans="2:10" customFormat="1" x14ac:dyDescent="0.3">
      <c r="B368" s="77">
        <v>136</v>
      </c>
      <c r="C368" s="78" t="s">
        <v>180</v>
      </c>
      <c r="D368" t="s">
        <v>168</v>
      </c>
      <c r="E368" t="s">
        <v>169</v>
      </c>
      <c r="F368" t="s">
        <v>179</v>
      </c>
      <c r="G368" t="s">
        <v>176</v>
      </c>
      <c r="H368" t="s">
        <v>170</v>
      </c>
      <c r="I368" t="s">
        <v>173</v>
      </c>
      <c r="J368" t="s">
        <v>175</v>
      </c>
    </row>
    <row r="369" spans="2:10" customFormat="1" x14ac:dyDescent="0.3">
      <c r="B369" s="77">
        <v>137</v>
      </c>
      <c r="C369" s="78" t="s">
        <v>180</v>
      </c>
      <c r="D369" t="s">
        <v>168</v>
      </c>
      <c r="E369" t="s">
        <v>169</v>
      </c>
      <c r="F369" t="s">
        <v>179</v>
      </c>
      <c r="G369" t="s">
        <v>174</v>
      </c>
      <c r="H369" t="s">
        <v>170</v>
      </c>
      <c r="I369" t="s">
        <v>173</v>
      </c>
      <c r="J369" t="s">
        <v>175</v>
      </c>
    </row>
    <row r="370" spans="2:10" customFormat="1" x14ac:dyDescent="0.3">
      <c r="B370" s="77">
        <v>138</v>
      </c>
      <c r="C370" s="78" t="s">
        <v>180</v>
      </c>
      <c r="D370" t="s">
        <v>168</v>
      </c>
      <c r="E370" t="s">
        <v>169</v>
      </c>
      <c r="F370" t="s">
        <v>179</v>
      </c>
      <c r="G370" t="s">
        <v>176</v>
      </c>
      <c r="H370" t="s">
        <v>170</v>
      </c>
      <c r="I370" t="s">
        <v>173</v>
      </c>
      <c r="J370" t="s">
        <v>174</v>
      </c>
    </row>
    <row r="371" spans="2:10" customFormat="1" x14ac:dyDescent="0.3">
      <c r="B371" s="77">
        <v>139</v>
      </c>
      <c r="C371" s="78" t="s">
        <v>180</v>
      </c>
      <c r="D371" t="s">
        <v>168</v>
      </c>
      <c r="E371" t="s">
        <v>169</v>
      </c>
      <c r="F371" t="s">
        <v>179</v>
      </c>
      <c r="G371" t="s">
        <v>176</v>
      </c>
      <c r="H371" t="s">
        <v>170</v>
      </c>
      <c r="I371" t="s">
        <v>174</v>
      </c>
      <c r="J371" t="s">
        <v>175</v>
      </c>
    </row>
    <row r="372" spans="2:10" customFormat="1" x14ac:dyDescent="0.3">
      <c r="B372" s="77">
        <v>140</v>
      </c>
      <c r="C372" s="78" t="s">
        <v>180</v>
      </c>
      <c r="D372" t="s">
        <v>168</v>
      </c>
      <c r="E372" t="s">
        <v>169</v>
      </c>
      <c r="F372" t="s">
        <v>179</v>
      </c>
      <c r="G372" t="s">
        <v>177</v>
      </c>
      <c r="H372" t="s">
        <v>170</v>
      </c>
      <c r="I372" t="s">
        <v>173</v>
      </c>
      <c r="J372" t="s">
        <v>175</v>
      </c>
    </row>
    <row r="373" spans="2:10" customFormat="1" x14ac:dyDescent="0.3">
      <c r="B373" s="77">
        <v>141</v>
      </c>
      <c r="C373" s="78" t="s">
        <v>178</v>
      </c>
      <c r="D373" t="s">
        <v>168</v>
      </c>
      <c r="E373" t="s">
        <v>169</v>
      </c>
      <c r="F373" t="s">
        <v>179</v>
      </c>
      <c r="G373" t="s">
        <v>176</v>
      </c>
      <c r="H373" t="s">
        <v>170</v>
      </c>
      <c r="I373" t="s">
        <v>173</v>
      </c>
      <c r="J373" t="s">
        <v>181</v>
      </c>
    </row>
    <row r="374" spans="2:10" customFormat="1" x14ac:dyDescent="0.3">
      <c r="B374" s="77">
        <v>142</v>
      </c>
      <c r="C374" s="78" t="s">
        <v>178</v>
      </c>
      <c r="D374" t="s">
        <v>168</v>
      </c>
      <c r="E374" t="s">
        <v>169</v>
      </c>
      <c r="F374" t="s">
        <v>179</v>
      </c>
      <c r="G374" t="s">
        <v>176</v>
      </c>
      <c r="H374" t="s">
        <v>170</v>
      </c>
      <c r="I374" t="s">
        <v>181</v>
      </c>
      <c r="J374" t="s">
        <v>175</v>
      </c>
    </row>
    <row r="375" spans="2:10" customFormat="1" x14ac:dyDescent="0.3">
      <c r="B375" s="77">
        <v>143</v>
      </c>
      <c r="C375" s="78" t="s">
        <v>180</v>
      </c>
      <c r="D375" t="s">
        <v>168</v>
      </c>
      <c r="E375" t="s">
        <v>169</v>
      </c>
      <c r="F375" t="s">
        <v>179</v>
      </c>
      <c r="G375" t="s">
        <v>177</v>
      </c>
      <c r="H375" t="s">
        <v>170</v>
      </c>
      <c r="I375" t="s">
        <v>173</v>
      </c>
      <c r="J375" t="s">
        <v>174</v>
      </c>
    </row>
    <row r="376" spans="2:10" customFormat="1" x14ac:dyDescent="0.3">
      <c r="B376" s="77">
        <v>144</v>
      </c>
      <c r="C376" s="78" t="s">
        <v>180</v>
      </c>
      <c r="D376" t="s">
        <v>168</v>
      </c>
      <c r="E376" t="s">
        <v>169</v>
      </c>
      <c r="F376" t="s">
        <v>179</v>
      </c>
      <c r="G376" t="s">
        <v>177</v>
      </c>
      <c r="H376" t="s">
        <v>170</v>
      </c>
      <c r="I376" t="s">
        <v>174</v>
      </c>
      <c r="J376" t="s">
        <v>175</v>
      </c>
    </row>
    <row r="377" spans="2:10" customFormat="1" x14ac:dyDescent="0.3">
      <c r="B377" s="77">
        <v>145</v>
      </c>
      <c r="C377" s="78" t="s">
        <v>178</v>
      </c>
      <c r="D377" t="s">
        <v>168</v>
      </c>
      <c r="E377" t="s">
        <v>169</v>
      </c>
      <c r="F377" t="s">
        <v>179</v>
      </c>
      <c r="G377" t="s">
        <v>176</v>
      </c>
      <c r="H377" t="s">
        <v>170</v>
      </c>
      <c r="I377" t="s">
        <v>181</v>
      </c>
      <c r="J377" t="s">
        <v>174</v>
      </c>
    </row>
    <row r="378" spans="2:10" customFormat="1" x14ac:dyDescent="0.3">
      <c r="B378" s="77">
        <v>146</v>
      </c>
      <c r="C378" s="78" t="s">
        <v>167</v>
      </c>
      <c r="D378" t="s">
        <v>176</v>
      </c>
      <c r="E378" t="s">
        <v>169</v>
      </c>
      <c r="F378" t="s">
        <v>170</v>
      </c>
      <c r="G378" t="s">
        <v>181</v>
      </c>
      <c r="H378" t="s">
        <v>172</v>
      </c>
      <c r="I378" t="s">
        <v>173</v>
      </c>
      <c r="J378" t="s">
        <v>175</v>
      </c>
    </row>
    <row r="379" spans="2:10" customFormat="1" x14ac:dyDescent="0.3">
      <c r="B379" s="77">
        <v>147</v>
      </c>
      <c r="C379" s="78" t="s">
        <v>167</v>
      </c>
      <c r="D379" t="s">
        <v>181</v>
      </c>
      <c r="E379" t="s">
        <v>169</v>
      </c>
      <c r="F379" t="s">
        <v>170</v>
      </c>
      <c r="G379" t="s">
        <v>174</v>
      </c>
      <c r="H379" t="s">
        <v>172</v>
      </c>
      <c r="I379" t="s">
        <v>173</v>
      </c>
      <c r="J379" t="s">
        <v>175</v>
      </c>
    </row>
    <row r="380" spans="2:10" customFormat="1" x14ac:dyDescent="0.3">
      <c r="B380" s="77">
        <v>148</v>
      </c>
      <c r="C380" s="78" t="s">
        <v>167</v>
      </c>
      <c r="D380" t="s">
        <v>176</v>
      </c>
      <c r="E380" t="s">
        <v>169</v>
      </c>
      <c r="F380" t="s">
        <v>170</v>
      </c>
      <c r="G380" t="s">
        <v>181</v>
      </c>
      <c r="H380" t="s">
        <v>172</v>
      </c>
      <c r="I380" t="s">
        <v>173</v>
      </c>
      <c r="J380" t="s">
        <v>174</v>
      </c>
    </row>
    <row r="381" spans="2:10" customFormat="1" x14ac:dyDescent="0.3">
      <c r="B381" s="77">
        <v>149</v>
      </c>
      <c r="C381" s="78" t="s">
        <v>167</v>
      </c>
      <c r="D381" t="s">
        <v>176</v>
      </c>
      <c r="E381" t="s">
        <v>169</v>
      </c>
      <c r="F381" t="s">
        <v>170</v>
      </c>
      <c r="G381" t="s">
        <v>181</v>
      </c>
      <c r="H381" t="s">
        <v>172</v>
      </c>
      <c r="I381" t="s">
        <v>174</v>
      </c>
      <c r="J381" t="s">
        <v>175</v>
      </c>
    </row>
    <row r="382" spans="2:10" customFormat="1" x14ac:dyDescent="0.3">
      <c r="B382" s="77">
        <v>150</v>
      </c>
      <c r="C382" s="78" t="s">
        <v>167</v>
      </c>
      <c r="D382" t="s">
        <v>181</v>
      </c>
      <c r="E382" t="s">
        <v>169</v>
      </c>
      <c r="F382" t="s">
        <v>170</v>
      </c>
      <c r="G382" t="s">
        <v>177</v>
      </c>
      <c r="H382" t="s">
        <v>172</v>
      </c>
      <c r="I382" t="s">
        <v>173</v>
      </c>
      <c r="J382" t="s">
        <v>175</v>
      </c>
    </row>
    <row r="383" spans="2:10" customFormat="1" x14ac:dyDescent="0.3">
      <c r="B383" s="77">
        <v>151</v>
      </c>
      <c r="C383" s="78" t="s">
        <v>167</v>
      </c>
      <c r="D383" t="s">
        <v>176</v>
      </c>
      <c r="E383" t="s">
        <v>169</v>
      </c>
      <c r="F383" t="s">
        <v>170</v>
      </c>
      <c r="G383" t="s">
        <v>177</v>
      </c>
      <c r="H383" t="s">
        <v>172</v>
      </c>
      <c r="I383" t="s">
        <v>173</v>
      </c>
      <c r="J383" t="s">
        <v>181</v>
      </c>
    </row>
    <row r="384" spans="2:10" customFormat="1" x14ac:dyDescent="0.3">
      <c r="B384" s="77">
        <v>152</v>
      </c>
      <c r="C384" s="78" t="s">
        <v>167</v>
      </c>
      <c r="D384" t="s">
        <v>176</v>
      </c>
      <c r="E384" t="s">
        <v>169</v>
      </c>
      <c r="F384" t="s">
        <v>170</v>
      </c>
      <c r="G384" t="s">
        <v>177</v>
      </c>
      <c r="H384" t="s">
        <v>172</v>
      </c>
      <c r="I384" t="s">
        <v>181</v>
      </c>
      <c r="J384" t="s">
        <v>175</v>
      </c>
    </row>
    <row r="385" spans="2:10" customFormat="1" x14ac:dyDescent="0.3">
      <c r="B385" s="77">
        <v>153</v>
      </c>
      <c r="C385" s="78" t="s">
        <v>167</v>
      </c>
      <c r="D385" t="s">
        <v>181</v>
      </c>
      <c r="E385" t="s">
        <v>169</v>
      </c>
      <c r="F385" t="s">
        <v>170</v>
      </c>
      <c r="G385" t="s">
        <v>177</v>
      </c>
      <c r="H385" t="s">
        <v>172</v>
      </c>
      <c r="I385" t="s">
        <v>173</v>
      </c>
      <c r="J385" t="s">
        <v>174</v>
      </c>
    </row>
    <row r="386" spans="2:10" customFormat="1" x14ac:dyDescent="0.3">
      <c r="B386" s="77">
        <v>154</v>
      </c>
      <c r="C386" s="78" t="s">
        <v>167</v>
      </c>
      <c r="D386" t="s">
        <v>181</v>
      </c>
      <c r="E386" t="s">
        <v>169</v>
      </c>
      <c r="F386" t="s">
        <v>170</v>
      </c>
      <c r="G386" t="s">
        <v>177</v>
      </c>
      <c r="H386" t="s">
        <v>172</v>
      </c>
      <c r="I386" t="s">
        <v>174</v>
      </c>
      <c r="J386" t="s">
        <v>175</v>
      </c>
    </row>
    <row r="387" spans="2:10" customFormat="1" x14ac:dyDescent="0.3">
      <c r="B387" s="77">
        <v>155</v>
      </c>
      <c r="C387" s="78" t="s">
        <v>167</v>
      </c>
      <c r="D387" t="s">
        <v>176</v>
      </c>
      <c r="E387" t="s">
        <v>169</v>
      </c>
      <c r="F387" t="s">
        <v>170</v>
      </c>
      <c r="G387" t="s">
        <v>177</v>
      </c>
      <c r="H387" t="s">
        <v>172</v>
      </c>
      <c r="I387" t="s">
        <v>181</v>
      </c>
      <c r="J387" t="s">
        <v>174</v>
      </c>
    </row>
    <row r="388" spans="2:10" customFormat="1" x14ac:dyDescent="0.3">
      <c r="B388" s="77">
        <v>156</v>
      </c>
      <c r="C388" s="78" t="s">
        <v>167</v>
      </c>
      <c r="D388" t="s">
        <v>168</v>
      </c>
      <c r="E388" t="s">
        <v>169</v>
      </c>
      <c r="F388" t="s">
        <v>170</v>
      </c>
      <c r="G388" t="s">
        <v>181</v>
      </c>
      <c r="H388" t="s">
        <v>172</v>
      </c>
      <c r="I388" t="s">
        <v>173</v>
      </c>
      <c r="J388" t="s">
        <v>175</v>
      </c>
    </row>
    <row r="389" spans="2:10" customFormat="1" x14ac:dyDescent="0.3">
      <c r="B389" s="77">
        <v>157</v>
      </c>
      <c r="C389" s="78" t="s">
        <v>167</v>
      </c>
      <c r="D389" t="s">
        <v>168</v>
      </c>
      <c r="E389" t="s">
        <v>169</v>
      </c>
      <c r="F389" t="s">
        <v>170</v>
      </c>
      <c r="G389" t="s">
        <v>176</v>
      </c>
      <c r="H389" t="s">
        <v>172</v>
      </c>
      <c r="I389" t="s">
        <v>173</v>
      </c>
      <c r="J389" t="s">
        <v>181</v>
      </c>
    </row>
    <row r="390" spans="2:10" customFormat="1" x14ac:dyDescent="0.3">
      <c r="B390" s="77">
        <v>158</v>
      </c>
      <c r="C390" s="78" t="s">
        <v>167</v>
      </c>
      <c r="D390" t="s">
        <v>168</v>
      </c>
      <c r="E390" t="s">
        <v>169</v>
      </c>
      <c r="F390" t="s">
        <v>170</v>
      </c>
      <c r="G390" t="s">
        <v>176</v>
      </c>
      <c r="H390" t="s">
        <v>172</v>
      </c>
      <c r="I390" t="s">
        <v>181</v>
      </c>
      <c r="J390" t="s">
        <v>175</v>
      </c>
    </row>
    <row r="391" spans="2:10" customFormat="1" x14ac:dyDescent="0.3">
      <c r="B391" s="77">
        <v>159</v>
      </c>
      <c r="C391" s="78" t="s">
        <v>167</v>
      </c>
      <c r="D391" t="s">
        <v>168</v>
      </c>
      <c r="E391" t="s">
        <v>169</v>
      </c>
      <c r="F391" t="s">
        <v>170</v>
      </c>
      <c r="G391" t="s">
        <v>181</v>
      </c>
      <c r="H391" t="s">
        <v>172</v>
      </c>
      <c r="I391" t="s">
        <v>173</v>
      </c>
      <c r="J391" t="s">
        <v>174</v>
      </c>
    </row>
    <row r="392" spans="2:10" customFormat="1" x14ac:dyDescent="0.3">
      <c r="B392" s="77">
        <v>160</v>
      </c>
      <c r="C392" s="78" t="s">
        <v>167</v>
      </c>
      <c r="D392" t="s">
        <v>168</v>
      </c>
      <c r="E392" t="s">
        <v>169</v>
      </c>
      <c r="F392" t="s">
        <v>170</v>
      </c>
      <c r="G392" t="s">
        <v>181</v>
      </c>
      <c r="H392" t="s">
        <v>172</v>
      </c>
      <c r="I392" t="s">
        <v>174</v>
      </c>
      <c r="J392" t="s">
        <v>175</v>
      </c>
    </row>
    <row r="393" spans="2:10" customFormat="1" x14ac:dyDescent="0.3">
      <c r="B393" s="77">
        <v>161</v>
      </c>
      <c r="C393" s="78" t="s">
        <v>167</v>
      </c>
      <c r="D393" t="s">
        <v>168</v>
      </c>
      <c r="E393" t="s">
        <v>169</v>
      </c>
      <c r="F393" t="s">
        <v>170</v>
      </c>
      <c r="G393" t="s">
        <v>176</v>
      </c>
      <c r="H393" t="s">
        <v>172</v>
      </c>
      <c r="I393" t="s">
        <v>181</v>
      </c>
      <c r="J393" t="s">
        <v>174</v>
      </c>
    </row>
    <row r="394" spans="2:10" customFormat="1" x14ac:dyDescent="0.3">
      <c r="B394" s="77">
        <v>162</v>
      </c>
      <c r="C394" s="78" t="s">
        <v>167</v>
      </c>
      <c r="D394" t="s">
        <v>168</v>
      </c>
      <c r="E394" t="s">
        <v>169</v>
      </c>
      <c r="F394" t="s">
        <v>170</v>
      </c>
      <c r="G394" t="s">
        <v>177</v>
      </c>
      <c r="H394" t="s">
        <v>172</v>
      </c>
      <c r="I394" t="s">
        <v>173</v>
      </c>
      <c r="J394" t="s">
        <v>181</v>
      </c>
    </row>
    <row r="395" spans="2:10" customFormat="1" x14ac:dyDescent="0.3">
      <c r="B395" s="77">
        <v>163</v>
      </c>
      <c r="C395" s="78" t="s">
        <v>167</v>
      </c>
      <c r="D395" t="s">
        <v>168</v>
      </c>
      <c r="E395" t="s">
        <v>169</v>
      </c>
      <c r="F395" t="s">
        <v>170</v>
      </c>
      <c r="G395" t="s">
        <v>177</v>
      </c>
      <c r="H395" t="s">
        <v>172</v>
      </c>
      <c r="I395" t="s">
        <v>181</v>
      </c>
      <c r="J395" t="s">
        <v>175</v>
      </c>
    </row>
    <row r="396" spans="2:10" customFormat="1" x14ac:dyDescent="0.3">
      <c r="B396" s="77">
        <v>48</v>
      </c>
      <c r="C396" s="78" t="s">
        <v>180</v>
      </c>
      <c r="D396" t="s">
        <v>176</v>
      </c>
      <c r="E396" t="s">
        <v>169</v>
      </c>
      <c r="F396" t="s">
        <v>172</v>
      </c>
      <c r="G396" t="s">
        <v>174</v>
      </c>
      <c r="H396" t="s">
        <v>177</v>
      </c>
      <c r="I396" t="s">
        <v>173</v>
      </c>
      <c r="J396" t="s">
        <v>175</v>
      </c>
    </row>
    <row r="397" spans="2:10" customFormat="1" x14ac:dyDescent="0.3">
      <c r="B397" s="77">
        <v>49</v>
      </c>
      <c r="C397" s="78" t="s">
        <v>180</v>
      </c>
      <c r="D397" t="s">
        <v>176</v>
      </c>
      <c r="E397" t="s">
        <v>169</v>
      </c>
      <c r="F397" t="s">
        <v>172</v>
      </c>
      <c r="G397" t="s">
        <v>174</v>
      </c>
      <c r="H397" t="s">
        <v>168</v>
      </c>
      <c r="I397" t="s">
        <v>173</v>
      </c>
      <c r="J397" t="s">
        <v>175</v>
      </c>
    </row>
    <row r="398" spans="2:10" customFormat="1" x14ac:dyDescent="0.3">
      <c r="B398" s="77">
        <v>50</v>
      </c>
      <c r="C398" s="78" t="s">
        <v>180</v>
      </c>
      <c r="D398" t="s">
        <v>176</v>
      </c>
      <c r="E398" t="s">
        <v>169</v>
      </c>
      <c r="F398" t="s">
        <v>172</v>
      </c>
      <c r="G398" t="s">
        <v>177</v>
      </c>
      <c r="H398" t="s">
        <v>168</v>
      </c>
      <c r="I398" t="s">
        <v>173</v>
      </c>
      <c r="J398" t="s">
        <v>175</v>
      </c>
    </row>
    <row r="399" spans="2:10" customFormat="1" x14ac:dyDescent="0.3">
      <c r="B399" s="77">
        <v>51</v>
      </c>
      <c r="C399" s="78" t="s">
        <v>180</v>
      </c>
      <c r="D399" t="s">
        <v>168</v>
      </c>
      <c r="E399" t="s">
        <v>169</v>
      </c>
      <c r="F399" t="s">
        <v>172</v>
      </c>
      <c r="G399" t="s">
        <v>174</v>
      </c>
      <c r="H399" t="s">
        <v>177</v>
      </c>
      <c r="I399" t="s">
        <v>173</v>
      </c>
      <c r="J399" t="s">
        <v>175</v>
      </c>
    </row>
    <row r="400" spans="2:10" customFormat="1" x14ac:dyDescent="0.3">
      <c r="B400" s="77">
        <v>52</v>
      </c>
      <c r="C400" s="78" t="s">
        <v>180</v>
      </c>
      <c r="D400" t="s">
        <v>176</v>
      </c>
      <c r="E400" t="s">
        <v>169</v>
      </c>
      <c r="F400" t="s">
        <v>172</v>
      </c>
      <c r="G400" t="s">
        <v>177</v>
      </c>
      <c r="H400" t="s">
        <v>168</v>
      </c>
      <c r="I400" t="s">
        <v>173</v>
      </c>
      <c r="J400" t="s">
        <v>174</v>
      </c>
    </row>
    <row r="401" spans="2:10" customFormat="1" x14ac:dyDescent="0.3">
      <c r="B401" s="77">
        <v>53</v>
      </c>
      <c r="C401" s="78" t="s">
        <v>180</v>
      </c>
      <c r="D401" t="s">
        <v>176</v>
      </c>
      <c r="E401" t="s">
        <v>169</v>
      </c>
      <c r="F401" t="s">
        <v>172</v>
      </c>
      <c r="G401" t="s">
        <v>177</v>
      </c>
      <c r="H401" t="s">
        <v>168</v>
      </c>
      <c r="I401" t="s">
        <v>174</v>
      </c>
      <c r="J401" t="s">
        <v>175</v>
      </c>
    </row>
    <row r="402" spans="2:10" customFormat="1" x14ac:dyDescent="0.3">
      <c r="B402" s="77">
        <v>54</v>
      </c>
      <c r="C402" s="78" t="s">
        <v>178</v>
      </c>
      <c r="D402" t="s">
        <v>176</v>
      </c>
      <c r="E402" t="s">
        <v>169</v>
      </c>
      <c r="F402" t="s">
        <v>170</v>
      </c>
      <c r="G402" t="s">
        <v>174</v>
      </c>
      <c r="H402" t="s">
        <v>168</v>
      </c>
      <c r="I402" t="s">
        <v>173</v>
      </c>
      <c r="J402" t="s">
        <v>175</v>
      </c>
    </row>
    <row r="403" spans="2:10" customFormat="1" x14ac:dyDescent="0.3">
      <c r="B403" s="77">
        <v>55</v>
      </c>
      <c r="C403" s="78" t="s">
        <v>178</v>
      </c>
      <c r="D403" t="s">
        <v>176</v>
      </c>
      <c r="E403" t="s">
        <v>169</v>
      </c>
      <c r="F403" t="s">
        <v>170</v>
      </c>
      <c r="G403" t="s">
        <v>174</v>
      </c>
      <c r="H403" t="s">
        <v>172</v>
      </c>
      <c r="I403" t="s">
        <v>173</v>
      </c>
      <c r="J403" t="s">
        <v>175</v>
      </c>
    </row>
    <row r="404" spans="2:10" customFormat="1" x14ac:dyDescent="0.3">
      <c r="B404" s="77">
        <v>56</v>
      </c>
      <c r="C404" s="78" t="s">
        <v>182</v>
      </c>
      <c r="D404" t="s">
        <v>168</v>
      </c>
      <c r="E404" t="s">
        <v>169</v>
      </c>
      <c r="F404" t="s">
        <v>170</v>
      </c>
      <c r="G404" t="s">
        <v>176</v>
      </c>
      <c r="H404" t="s">
        <v>172</v>
      </c>
      <c r="I404" t="s">
        <v>173</v>
      </c>
      <c r="J404" t="s">
        <v>175</v>
      </c>
    </row>
    <row r="405" spans="2:10" customFormat="1" x14ac:dyDescent="0.3">
      <c r="B405" s="77">
        <v>57</v>
      </c>
      <c r="C405" s="78" t="s">
        <v>178</v>
      </c>
      <c r="D405" t="s">
        <v>168</v>
      </c>
      <c r="E405" t="s">
        <v>169</v>
      </c>
      <c r="F405" t="s">
        <v>170</v>
      </c>
      <c r="G405" t="s">
        <v>176</v>
      </c>
      <c r="H405" t="s">
        <v>172</v>
      </c>
      <c r="I405" t="s">
        <v>173</v>
      </c>
      <c r="J405" t="s">
        <v>175</v>
      </c>
    </row>
    <row r="406" spans="2:10" customFormat="1" x14ac:dyDescent="0.3">
      <c r="B406" s="77">
        <v>58</v>
      </c>
      <c r="C406" s="78" t="s">
        <v>178</v>
      </c>
      <c r="D406" t="s">
        <v>168</v>
      </c>
      <c r="E406" t="s">
        <v>169</v>
      </c>
      <c r="F406" t="s">
        <v>170</v>
      </c>
      <c r="G406" t="s">
        <v>174</v>
      </c>
      <c r="H406" t="s">
        <v>172</v>
      </c>
      <c r="I406" t="s">
        <v>173</v>
      </c>
      <c r="J406" t="s">
        <v>175</v>
      </c>
    </row>
    <row r="407" spans="2:10" customFormat="1" x14ac:dyDescent="0.3">
      <c r="B407" s="77">
        <v>59</v>
      </c>
      <c r="C407" s="78" t="s">
        <v>178</v>
      </c>
      <c r="D407" t="s">
        <v>168</v>
      </c>
      <c r="E407" t="s">
        <v>169</v>
      </c>
      <c r="F407" t="s">
        <v>170</v>
      </c>
      <c r="G407" t="s">
        <v>176</v>
      </c>
      <c r="H407" t="s">
        <v>172</v>
      </c>
      <c r="I407" t="s">
        <v>173</v>
      </c>
      <c r="J407" t="s">
        <v>174</v>
      </c>
    </row>
    <row r="408" spans="2:10" customFormat="1" x14ac:dyDescent="0.3">
      <c r="B408" s="77">
        <v>60</v>
      </c>
      <c r="C408" s="78" t="s">
        <v>178</v>
      </c>
      <c r="D408" t="s">
        <v>168</v>
      </c>
      <c r="E408" t="s">
        <v>169</v>
      </c>
      <c r="F408" t="s">
        <v>170</v>
      </c>
      <c r="G408" t="s">
        <v>176</v>
      </c>
      <c r="H408" t="s">
        <v>172</v>
      </c>
      <c r="I408" t="s">
        <v>174</v>
      </c>
      <c r="J408" t="s">
        <v>175</v>
      </c>
    </row>
    <row r="409" spans="2:10" customFormat="1" x14ac:dyDescent="0.3">
      <c r="B409" s="77">
        <v>61</v>
      </c>
      <c r="C409" s="78" t="s">
        <v>180</v>
      </c>
      <c r="D409" t="s">
        <v>176</v>
      </c>
      <c r="E409" t="s">
        <v>169</v>
      </c>
      <c r="F409" t="s">
        <v>170</v>
      </c>
      <c r="G409" t="s">
        <v>174</v>
      </c>
      <c r="H409" t="s">
        <v>177</v>
      </c>
      <c r="I409" t="s">
        <v>173</v>
      </c>
      <c r="J409" t="s">
        <v>175</v>
      </c>
    </row>
    <row r="410" spans="2:10" customFormat="1" x14ac:dyDescent="0.3">
      <c r="B410" s="77">
        <v>62</v>
      </c>
      <c r="C410" s="78" t="s">
        <v>180</v>
      </c>
      <c r="D410" t="s">
        <v>176</v>
      </c>
      <c r="E410" t="s">
        <v>169</v>
      </c>
      <c r="F410" t="s">
        <v>170</v>
      </c>
      <c r="G410" t="s">
        <v>174</v>
      </c>
      <c r="H410" t="s">
        <v>168</v>
      </c>
      <c r="I410" t="s">
        <v>173</v>
      </c>
      <c r="J410" t="s">
        <v>175</v>
      </c>
    </row>
    <row r="411" spans="2:10" customFormat="1" x14ac:dyDescent="0.3">
      <c r="B411" s="77">
        <v>63</v>
      </c>
      <c r="C411" s="78" t="s">
        <v>180</v>
      </c>
      <c r="D411" t="s">
        <v>176</v>
      </c>
      <c r="E411" t="s">
        <v>169</v>
      </c>
      <c r="F411" t="s">
        <v>170</v>
      </c>
      <c r="G411" t="s">
        <v>177</v>
      </c>
      <c r="H411" t="s">
        <v>168</v>
      </c>
      <c r="I411" t="s">
        <v>173</v>
      </c>
      <c r="J411" t="s">
        <v>175</v>
      </c>
    </row>
    <row r="412" spans="2:10" customFormat="1" x14ac:dyDescent="0.3">
      <c r="B412" s="77">
        <v>64</v>
      </c>
      <c r="C412" s="78" t="s">
        <v>180</v>
      </c>
      <c r="D412" t="s">
        <v>168</v>
      </c>
      <c r="E412" t="s">
        <v>169</v>
      </c>
      <c r="F412" t="s">
        <v>170</v>
      </c>
      <c r="G412" t="s">
        <v>174</v>
      </c>
      <c r="H412" t="s">
        <v>177</v>
      </c>
      <c r="I412" t="s">
        <v>173</v>
      </c>
      <c r="J412" t="s">
        <v>175</v>
      </c>
    </row>
    <row r="413" spans="2:10" customFormat="1" x14ac:dyDescent="0.3">
      <c r="B413" s="77">
        <v>65</v>
      </c>
      <c r="C413" s="78" t="s">
        <v>180</v>
      </c>
      <c r="D413" t="s">
        <v>176</v>
      </c>
      <c r="E413" t="s">
        <v>169</v>
      </c>
      <c r="F413" t="s">
        <v>170</v>
      </c>
      <c r="G413" t="s">
        <v>177</v>
      </c>
      <c r="H413" t="s">
        <v>168</v>
      </c>
      <c r="I413" t="s">
        <v>173</v>
      </c>
      <c r="J413" t="s">
        <v>174</v>
      </c>
    </row>
    <row r="414" spans="2:10" customFormat="1" x14ac:dyDescent="0.3">
      <c r="B414" s="77">
        <v>66</v>
      </c>
      <c r="C414" s="78" t="s">
        <v>180</v>
      </c>
      <c r="D414" t="s">
        <v>176</v>
      </c>
      <c r="E414" t="s">
        <v>169</v>
      </c>
      <c r="F414" t="s">
        <v>170</v>
      </c>
      <c r="G414" t="s">
        <v>177</v>
      </c>
      <c r="H414" t="s">
        <v>168</v>
      </c>
      <c r="I414" t="s">
        <v>174</v>
      </c>
      <c r="J414" t="s">
        <v>175</v>
      </c>
    </row>
    <row r="415" spans="2:10" customFormat="1" x14ac:dyDescent="0.3">
      <c r="B415" s="77">
        <v>67</v>
      </c>
      <c r="C415" s="78" t="s">
        <v>180</v>
      </c>
      <c r="D415" t="s">
        <v>176</v>
      </c>
      <c r="E415" t="s">
        <v>169</v>
      </c>
      <c r="F415" t="s">
        <v>170</v>
      </c>
      <c r="G415" t="s">
        <v>174</v>
      </c>
      <c r="H415" t="s">
        <v>172</v>
      </c>
      <c r="I415" t="s">
        <v>173</v>
      </c>
      <c r="J415" t="s">
        <v>175</v>
      </c>
    </row>
    <row r="416" spans="2:10" customFormat="1" x14ac:dyDescent="0.3">
      <c r="B416" s="77">
        <v>68</v>
      </c>
      <c r="C416" s="78" t="s">
        <v>180</v>
      </c>
      <c r="D416" t="s">
        <v>176</v>
      </c>
      <c r="E416" t="s">
        <v>169</v>
      </c>
      <c r="F416" t="s">
        <v>170</v>
      </c>
      <c r="G416" t="s">
        <v>177</v>
      </c>
      <c r="H416" t="s">
        <v>172</v>
      </c>
      <c r="I416" t="s">
        <v>173</v>
      </c>
      <c r="J416" t="s">
        <v>175</v>
      </c>
    </row>
    <row r="417" spans="2:10" customFormat="1" x14ac:dyDescent="0.3">
      <c r="B417" s="77">
        <v>69</v>
      </c>
      <c r="C417" s="78" t="s">
        <v>180</v>
      </c>
      <c r="D417" t="s">
        <v>174</v>
      </c>
      <c r="E417" t="s">
        <v>169</v>
      </c>
      <c r="F417" t="s">
        <v>170</v>
      </c>
      <c r="G417" t="s">
        <v>177</v>
      </c>
      <c r="H417" t="s">
        <v>172</v>
      </c>
      <c r="I417" t="s">
        <v>173</v>
      </c>
      <c r="J417" t="s">
        <v>175</v>
      </c>
    </row>
    <row r="418" spans="2:10" customFormat="1" x14ac:dyDescent="0.3">
      <c r="B418" s="77">
        <v>70</v>
      </c>
      <c r="C418" s="78" t="s">
        <v>180</v>
      </c>
      <c r="D418" t="s">
        <v>176</v>
      </c>
      <c r="E418" t="s">
        <v>169</v>
      </c>
      <c r="F418" t="s">
        <v>170</v>
      </c>
      <c r="G418" t="s">
        <v>177</v>
      </c>
      <c r="H418" t="s">
        <v>172</v>
      </c>
      <c r="I418" t="s">
        <v>173</v>
      </c>
      <c r="J418" t="s">
        <v>174</v>
      </c>
    </row>
    <row r="419" spans="2:10" customFormat="1" x14ac:dyDescent="0.3">
      <c r="B419" s="77">
        <v>71</v>
      </c>
      <c r="C419" s="78" t="s">
        <v>180</v>
      </c>
      <c r="D419" t="s">
        <v>176</v>
      </c>
      <c r="E419" t="s">
        <v>169</v>
      </c>
      <c r="F419" t="s">
        <v>170</v>
      </c>
      <c r="G419" t="s">
        <v>177</v>
      </c>
      <c r="H419" t="s">
        <v>172</v>
      </c>
      <c r="I419" t="s">
        <v>174</v>
      </c>
      <c r="J419" t="s">
        <v>175</v>
      </c>
    </row>
    <row r="420" spans="2:10" customFormat="1" x14ac:dyDescent="0.3">
      <c r="B420" s="77">
        <v>72</v>
      </c>
      <c r="C420" s="78" t="s">
        <v>180</v>
      </c>
      <c r="D420" t="s">
        <v>168</v>
      </c>
      <c r="E420" t="s">
        <v>169</v>
      </c>
      <c r="F420" t="s">
        <v>170</v>
      </c>
      <c r="G420" t="s">
        <v>176</v>
      </c>
      <c r="H420" t="s">
        <v>172</v>
      </c>
      <c r="I420" t="s">
        <v>173</v>
      </c>
      <c r="J420" t="s">
        <v>175</v>
      </c>
    </row>
    <row r="421" spans="2:10" customFormat="1" x14ac:dyDescent="0.3">
      <c r="B421" s="77">
        <v>73</v>
      </c>
      <c r="C421" s="78" t="s">
        <v>180</v>
      </c>
      <c r="D421" t="s">
        <v>168</v>
      </c>
      <c r="E421" t="s">
        <v>169</v>
      </c>
      <c r="F421" t="s">
        <v>170</v>
      </c>
      <c r="G421" t="s">
        <v>174</v>
      </c>
      <c r="H421" t="s">
        <v>172</v>
      </c>
      <c r="I421" t="s">
        <v>173</v>
      </c>
      <c r="J421" t="s">
        <v>175</v>
      </c>
    </row>
    <row r="422" spans="2:10" customFormat="1" x14ac:dyDescent="0.3">
      <c r="B422" s="77">
        <v>74</v>
      </c>
      <c r="C422" s="78" t="s">
        <v>180</v>
      </c>
      <c r="D422" t="s">
        <v>168</v>
      </c>
      <c r="E422" t="s">
        <v>169</v>
      </c>
      <c r="F422" t="s">
        <v>170</v>
      </c>
      <c r="G422" t="s">
        <v>176</v>
      </c>
      <c r="H422" t="s">
        <v>172</v>
      </c>
      <c r="I422" t="s">
        <v>173</v>
      </c>
      <c r="J422" t="s">
        <v>174</v>
      </c>
    </row>
    <row r="423" spans="2:10" customFormat="1" x14ac:dyDescent="0.3">
      <c r="B423" s="77">
        <v>75</v>
      </c>
      <c r="C423" s="78" t="s">
        <v>180</v>
      </c>
      <c r="D423" t="s">
        <v>168</v>
      </c>
      <c r="E423" t="s">
        <v>169</v>
      </c>
      <c r="F423" t="s">
        <v>170</v>
      </c>
      <c r="G423" t="s">
        <v>176</v>
      </c>
      <c r="H423" t="s">
        <v>172</v>
      </c>
      <c r="I423" t="s">
        <v>174</v>
      </c>
      <c r="J423" t="s">
        <v>175</v>
      </c>
    </row>
    <row r="424" spans="2:10" customFormat="1" x14ac:dyDescent="0.3">
      <c r="B424" s="77">
        <v>76</v>
      </c>
      <c r="C424" s="78" t="s">
        <v>180</v>
      </c>
      <c r="D424" t="s">
        <v>168</v>
      </c>
      <c r="E424" t="s">
        <v>169</v>
      </c>
      <c r="F424" t="s">
        <v>170</v>
      </c>
      <c r="G424" t="s">
        <v>177</v>
      </c>
      <c r="H424" t="s">
        <v>172</v>
      </c>
      <c r="I424" t="s">
        <v>173</v>
      </c>
      <c r="J424" t="s">
        <v>175</v>
      </c>
    </row>
    <row r="425" spans="2:10" customFormat="1" x14ac:dyDescent="0.3">
      <c r="B425" s="77">
        <v>77</v>
      </c>
      <c r="C425" s="78" t="s">
        <v>178</v>
      </c>
      <c r="D425" t="s">
        <v>168</v>
      </c>
      <c r="E425" t="s">
        <v>169</v>
      </c>
      <c r="F425" t="s">
        <v>170</v>
      </c>
      <c r="G425" t="s">
        <v>176</v>
      </c>
      <c r="H425" t="s">
        <v>172</v>
      </c>
      <c r="I425" t="s">
        <v>173</v>
      </c>
      <c r="J425" t="s">
        <v>181</v>
      </c>
    </row>
    <row r="426" spans="2:10" customFormat="1" x14ac:dyDescent="0.3">
      <c r="B426" s="77">
        <v>78</v>
      </c>
      <c r="C426" s="78" t="s">
        <v>178</v>
      </c>
      <c r="D426" t="s">
        <v>168</v>
      </c>
      <c r="E426" t="s">
        <v>169</v>
      </c>
      <c r="F426" t="s">
        <v>170</v>
      </c>
      <c r="G426" t="s">
        <v>176</v>
      </c>
      <c r="H426" t="s">
        <v>172</v>
      </c>
      <c r="I426" t="s">
        <v>181</v>
      </c>
      <c r="J426" t="s">
        <v>175</v>
      </c>
    </row>
    <row r="427" spans="2:10" customFormat="1" x14ac:dyDescent="0.3">
      <c r="B427" s="77">
        <v>79</v>
      </c>
      <c r="C427" s="78" t="s">
        <v>180</v>
      </c>
      <c r="D427" t="s">
        <v>168</v>
      </c>
      <c r="E427" t="s">
        <v>169</v>
      </c>
      <c r="F427" t="s">
        <v>170</v>
      </c>
      <c r="G427" t="s">
        <v>177</v>
      </c>
      <c r="H427" t="s">
        <v>172</v>
      </c>
      <c r="I427" t="s">
        <v>173</v>
      </c>
      <c r="J427" t="s">
        <v>174</v>
      </c>
    </row>
    <row r="428" spans="2:10" customFormat="1" x14ac:dyDescent="0.3">
      <c r="B428" s="77">
        <v>80</v>
      </c>
      <c r="C428" s="78" t="s">
        <v>180</v>
      </c>
      <c r="D428" t="s">
        <v>168</v>
      </c>
      <c r="E428" t="s">
        <v>169</v>
      </c>
      <c r="F428" t="s">
        <v>170</v>
      </c>
      <c r="G428" t="s">
        <v>177</v>
      </c>
      <c r="H428" t="s">
        <v>172</v>
      </c>
      <c r="I428" t="s">
        <v>174</v>
      </c>
      <c r="J428" t="s">
        <v>175</v>
      </c>
    </row>
    <row r="429" spans="2:10" customFormat="1" x14ac:dyDescent="0.3">
      <c r="B429" s="77">
        <v>81</v>
      </c>
      <c r="C429" s="78" t="s">
        <v>178</v>
      </c>
      <c r="D429" t="s">
        <v>168</v>
      </c>
      <c r="E429" t="s">
        <v>169</v>
      </c>
      <c r="F429" t="s">
        <v>170</v>
      </c>
      <c r="G429" t="s">
        <v>176</v>
      </c>
      <c r="H429" t="s">
        <v>172</v>
      </c>
      <c r="I429" t="s">
        <v>181</v>
      </c>
      <c r="J429" t="s">
        <v>174</v>
      </c>
    </row>
    <row r="430" spans="2:10" customFormat="1" x14ac:dyDescent="0.3">
      <c r="B430" s="77">
        <v>82</v>
      </c>
      <c r="C430" s="78" t="s">
        <v>178</v>
      </c>
      <c r="D430" t="s">
        <v>176</v>
      </c>
      <c r="E430" t="s">
        <v>169</v>
      </c>
      <c r="F430" t="s">
        <v>179</v>
      </c>
      <c r="G430" t="s">
        <v>174</v>
      </c>
      <c r="H430" t="s">
        <v>168</v>
      </c>
      <c r="I430" t="s">
        <v>173</v>
      </c>
      <c r="J430" t="s">
        <v>175</v>
      </c>
    </row>
    <row r="431" spans="2:10" customFormat="1" x14ac:dyDescent="0.3">
      <c r="B431" s="77">
        <v>83</v>
      </c>
      <c r="C431" s="78" t="s">
        <v>178</v>
      </c>
      <c r="D431" t="s">
        <v>176</v>
      </c>
      <c r="E431" t="s">
        <v>169</v>
      </c>
      <c r="F431" t="s">
        <v>179</v>
      </c>
      <c r="G431" t="s">
        <v>174</v>
      </c>
      <c r="H431" t="s">
        <v>172</v>
      </c>
      <c r="I431" t="s">
        <v>173</v>
      </c>
      <c r="J431" t="s">
        <v>175</v>
      </c>
    </row>
    <row r="432" spans="2:10" customFormat="1" x14ac:dyDescent="0.3">
      <c r="B432" s="77">
        <v>84</v>
      </c>
      <c r="C432" s="78" t="s">
        <v>182</v>
      </c>
      <c r="D432" t="s">
        <v>168</v>
      </c>
      <c r="E432" t="s">
        <v>169</v>
      </c>
      <c r="F432" t="s">
        <v>179</v>
      </c>
      <c r="G432" t="s">
        <v>176</v>
      </c>
      <c r="H432" t="s">
        <v>172</v>
      </c>
      <c r="I432" t="s">
        <v>173</v>
      </c>
      <c r="J432" t="s">
        <v>175</v>
      </c>
    </row>
    <row r="433" spans="2:10" customFormat="1" x14ac:dyDescent="0.3">
      <c r="B433" s="77">
        <v>85</v>
      </c>
      <c r="C433" s="78" t="s">
        <v>178</v>
      </c>
      <c r="D433" t="s">
        <v>168</v>
      </c>
      <c r="E433" t="s">
        <v>169</v>
      </c>
      <c r="F433" t="s">
        <v>179</v>
      </c>
      <c r="G433" t="s">
        <v>176</v>
      </c>
      <c r="H433" t="s">
        <v>172</v>
      </c>
      <c r="I433" t="s">
        <v>173</v>
      </c>
      <c r="J433" t="s">
        <v>175</v>
      </c>
    </row>
    <row r="434" spans="2:10" customFormat="1" x14ac:dyDescent="0.3">
      <c r="B434" s="77">
        <v>86</v>
      </c>
      <c r="C434" s="78" t="s">
        <v>178</v>
      </c>
      <c r="D434" t="s">
        <v>168</v>
      </c>
      <c r="E434" t="s">
        <v>169</v>
      </c>
      <c r="F434" t="s">
        <v>179</v>
      </c>
      <c r="G434" t="s">
        <v>174</v>
      </c>
      <c r="H434" t="s">
        <v>172</v>
      </c>
      <c r="I434" t="s">
        <v>173</v>
      </c>
      <c r="J434" t="s">
        <v>175</v>
      </c>
    </row>
    <row r="435" spans="2:10" customFormat="1" x14ac:dyDescent="0.3">
      <c r="B435" s="77">
        <v>87</v>
      </c>
      <c r="C435" s="78" t="s">
        <v>178</v>
      </c>
      <c r="D435" t="s">
        <v>168</v>
      </c>
      <c r="E435" t="s">
        <v>169</v>
      </c>
      <c r="F435" t="s">
        <v>179</v>
      </c>
      <c r="G435" t="s">
        <v>176</v>
      </c>
      <c r="H435" t="s">
        <v>172</v>
      </c>
      <c r="I435" t="s">
        <v>173</v>
      </c>
      <c r="J435" t="s">
        <v>174</v>
      </c>
    </row>
    <row r="436" spans="2:10" customFormat="1" x14ac:dyDescent="0.3">
      <c r="B436" s="77">
        <v>88</v>
      </c>
      <c r="C436" s="78" t="s">
        <v>178</v>
      </c>
      <c r="D436" t="s">
        <v>168</v>
      </c>
      <c r="E436" t="s">
        <v>169</v>
      </c>
      <c r="F436" t="s">
        <v>179</v>
      </c>
      <c r="G436" t="s">
        <v>176</v>
      </c>
      <c r="H436" t="s">
        <v>172</v>
      </c>
      <c r="I436" t="s">
        <v>174</v>
      </c>
      <c r="J436" t="s">
        <v>175</v>
      </c>
    </row>
    <row r="437" spans="2:10" customFormat="1" x14ac:dyDescent="0.3">
      <c r="B437" s="77">
        <v>89</v>
      </c>
      <c r="C437" s="78" t="s">
        <v>180</v>
      </c>
      <c r="D437" t="s">
        <v>176</v>
      </c>
      <c r="E437" t="s">
        <v>169</v>
      </c>
      <c r="F437" t="s">
        <v>179</v>
      </c>
      <c r="G437" t="s">
        <v>174</v>
      </c>
      <c r="H437" t="s">
        <v>177</v>
      </c>
      <c r="I437" t="s">
        <v>173</v>
      </c>
      <c r="J437" t="s">
        <v>175</v>
      </c>
    </row>
    <row r="438" spans="2:10" customFormat="1" x14ac:dyDescent="0.3">
      <c r="B438" s="77">
        <v>90</v>
      </c>
      <c r="C438" s="78" t="s">
        <v>180</v>
      </c>
      <c r="D438" t="s">
        <v>176</v>
      </c>
      <c r="E438" t="s">
        <v>169</v>
      </c>
      <c r="F438" t="s">
        <v>179</v>
      </c>
      <c r="G438" t="s">
        <v>174</v>
      </c>
      <c r="H438" t="s">
        <v>168</v>
      </c>
      <c r="I438" t="s">
        <v>173</v>
      </c>
      <c r="J438" t="s">
        <v>175</v>
      </c>
    </row>
    <row r="439" spans="2:10" customFormat="1" x14ac:dyDescent="0.3">
      <c r="B439" s="77">
        <v>91</v>
      </c>
      <c r="C439" s="78" t="s">
        <v>180</v>
      </c>
      <c r="D439" t="s">
        <v>176</v>
      </c>
      <c r="E439" t="s">
        <v>169</v>
      </c>
      <c r="F439" t="s">
        <v>179</v>
      </c>
      <c r="G439" t="s">
        <v>177</v>
      </c>
      <c r="H439" t="s">
        <v>168</v>
      </c>
      <c r="I439" t="s">
        <v>173</v>
      </c>
      <c r="J439" t="s">
        <v>175</v>
      </c>
    </row>
    <row r="440" spans="2:10" customFormat="1" x14ac:dyDescent="0.3">
      <c r="B440" s="77">
        <v>92</v>
      </c>
      <c r="C440" s="78" t="s">
        <v>180</v>
      </c>
      <c r="D440" t="s">
        <v>168</v>
      </c>
      <c r="E440" t="s">
        <v>169</v>
      </c>
      <c r="F440" t="s">
        <v>179</v>
      </c>
      <c r="G440" t="s">
        <v>174</v>
      </c>
      <c r="H440" t="s">
        <v>177</v>
      </c>
      <c r="I440" t="s">
        <v>173</v>
      </c>
      <c r="J440" t="s">
        <v>175</v>
      </c>
    </row>
    <row r="441" spans="2:10" customFormat="1" x14ac:dyDescent="0.3">
      <c r="B441" s="77">
        <v>93</v>
      </c>
      <c r="C441" s="78" t="s">
        <v>180</v>
      </c>
      <c r="D441" t="s">
        <v>176</v>
      </c>
      <c r="E441" t="s">
        <v>169</v>
      </c>
      <c r="F441" t="s">
        <v>179</v>
      </c>
      <c r="G441" t="s">
        <v>177</v>
      </c>
      <c r="H441" t="s">
        <v>168</v>
      </c>
      <c r="I441" t="s">
        <v>173</v>
      </c>
      <c r="J441" t="s">
        <v>174</v>
      </c>
    </row>
    <row r="442" spans="2:10" customFormat="1" x14ac:dyDescent="0.3">
      <c r="B442" s="77">
        <v>94</v>
      </c>
      <c r="C442" s="78" t="s">
        <v>180</v>
      </c>
      <c r="D442" t="s">
        <v>176</v>
      </c>
      <c r="E442" t="s">
        <v>169</v>
      </c>
      <c r="F442" t="s">
        <v>179</v>
      </c>
      <c r="G442" t="s">
        <v>177</v>
      </c>
      <c r="H442" t="s">
        <v>168</v>
      </c>
      <c r="I442" t="s">
        <v>174</v>
      </c>
      <c r="J442" t="s">
        <v>175</v>
      </c>
    </row>
    <row r="443" spans="2:10" customFormat="1" x14ac:dyDescent="0.3">
      <c r="B443" s="77">
        <v>95</v>
      </c>
      <c r="C443" s="78" t="s">
        <v>180</v>
      </c>
      <c r="D443" t="s">
        <v>176</v>
      </c>
      <c r="E443" t="s">
        <v>169</v>
      </c>
      <c r="F443" t="s">
        <v>179</v>
      </c>
      <c r="G443" t="s">
        <v>174</v>
      </c>
      <c r="H443" t="s">
        <v>172</v>
      </c>
      <c r="I443" t="s">
        <v>173</v>
      </c>
      <c r="J443" t="s">
        <v>175</v>
      </c>
    </row>
    <row r="444" spans="2:10" customFormat="1" x14ac:dyDescent="0.3">
      <c r="B444" s="77">
        <v>96</v>
      </c>
      <c r="C444" s="78" t="s">
        <v>180</v>
      </c>
      <c r="D444" t="s">
        <v>176</v>
      </c>
      <c r="E444" t="s">
        <v>169</v>
      </c>
      <c r="F444" t="s">
        <v>179</v>
      </c>
      <c r="G444" t="s">
        <v>177</v>
      </c>
      <c r="H444" t="s">
        <v>172</v>
      </c>
      <c r="I444" t="s">
        <v>173</v>
      </c>
      <c r="J444" t="s">
        <v>175</v>
      </c>
    </row>
    <row r="445" spans="2:10" customFormat="1" x14ac:dyDescent="0.3">
      <c r="B445" s="77">
        <v>97</v>
      </c>
      <c r="C445" s="78" t="s">
        <v>180</v>
      </c>
      <c r="D445" t="s">
        <v>174</v>
      </c>
      <c r="E445" t="s">
        <v>169</v>
      </c>
      <c r="F445" t="s">
        <v>179</v>
      </c>
      <c r="G445" t="s">
        <v>177</v>
      </c>
      <c r="H445" t="s">
        <v>172</v>
      </c>
      <c r="I445" t="s">
        <v>173</v>
      </c>
      <c r="J445" t="s">
        <v>175</v>
      </c>
    </row>
    <row r="446" spans="2:10" customFormat="1" x14ac:dyDescent="0.3">
      <c r="B446" s="77">
        <v>98</v>
      </c>
      <c r="C446" s="78" t="s">
        <v>180</v>
      </c>
      <c r="D446" t="s">
        <v>176</v>
      </c>
      <c r="E446" t="s">
        <v>169</v>
      </c>
      <c r="F446" t="s">
        <v>179</v>
      </c>
      <c r="G446" t="s">
        <v>177</v>
      </c>
      <c r="H446" t="s">
        <v>172</v>
      </c>
      <c r="I446" t="s">
        <v>173</v>
      </c>
      <c r="J446" t="s">
        <v>174</v>
      </c>
    </row>
    <row r="447" spans="2:10" customFormat="1" x14ac:dyDescent="0.3">
      <c r="B447" s="77">
        <v>99</v>
      </c>
      <c r="C447" s="78" t="s">
        <v>180</v>
      </c>
      <c r="D447" t="s">
        <v>176</v>
      </c>
      <c r="E447" t="s">
        <v>169</v>
      </c>
      <c r="F447" t="s">
        <v>179</v>
      </c>
      <c r="G447" t="s">
        <v>177</v>
      </c>
      <c r="H447" t="s">
        <v>172</v>
      </c>
      <c r="I447" t="s">
        <v>174</v>
      </c>
      <c r="J447" t="s">
        <v>175</v>
      </c>
    </row>
    <row r="448" spans="2:10" customFormat="1" x14ac:dyDescent="0.3">
      <c r="B448" s="77">
        <v>100</v>
      </c>
      <c r="C448" s="78" t="s">
        <v>180</v>
      </c>
      <c r="D448" t="s">
        <v>168</v>
      </c>
      <c r="E448" t="s">
        <v>169</v>
      </c>
      <c r="F448" t="s">
        <v>179</v>
      </c>
      <c r="G448" t="s">
        <v>176</v>
      </c>
      <c r="H448" t="s">
        <v>172</v>
      </c>
      <c r="I448" t="s">
        <v>173</v>
      </c>
      <c r="J448" t="s">
        <v>175</v>
      </c>
    </row>
    <row r="449" spans="2:10" customFormat="1" x14ac:dyDescent="0.3">
      <c r="B449" s="77">
        <v>101</v>
      </c>
      <c r="C449" s="78" t="s">
        <v>180</v>
      </c>
      <c r="D449" t="s">
        <v>168</v>
      </c>
      <c r="E449" t="s">
        <v>169</v>
      </c>
      <c r="F449" t="s">
        <v>179</v>
      </c>
      <c r="G449" t="s">
        <v>174</v>
      </c>
      <c r="H449" t="s">
        <v>172</v>
      </c>
      <c r="I449" t="s">
        <v>173</v>
      </c>
      <c r="J449" t="s">
        <v>175</v>
      </c>
    </row>
    <row r="450" spans="2:10" customFormat="1" x14ac:dyDescent="0.3">
      <c r="B450" s="77">
        <v>102</v>
      </c>
      <c r="C450" s="78" t="s">
        <v>180</v>
      </c>
      <c r="D450" t="s">
        <v>168</v>
      </c>
      <c r="E450" t="s">
        <v>169</v>
      </c>
      <c r="F450" t="s">
        <v>179</v>
      </c>
      <c r="G450" t="s">
        <v>176</v>
      </c>
      <c r="H450" t="s">
        <v>172</v>
      </c>
      <c r="I450" t="s">
        <v>173</v>
      </c>
      <c r="J450" t="s">
        <v>174</v>
      </c>
    </row>
    <row r="451" spans="2:10" customFormat="1" x14ac:dyDescent="0.3">
      <c r="B451" s="77">
        <v>103</v>
      </c>
      <c r="C451" s="78" t="s">
        <v>180</v>
      </c>
      <c r="D451" t="s">
        <v>168</v>
      </c>
      <c r="E451" t="s">
        <v>169</v>
      </c>
      <c r="F451" t="s">
        <v>179</v>
      </c>
      <c r="G451" t="s">
        <v>176</v>
      </c>
      <c r="H451" t="s">
        <v>172</v>
      </c>
      <c r="I451" t="s">
        <v>174</v>
      </c>
      <c r="J451" t="s">
        <v>175</v>
      </c>
    </row>
    <row r="452" spans="2:10" customFormat="1" x14ac:dyDescent="0.3">
      <c r="B452" s="77">
        <v>104</v>
      </c>
      <c r="C452" s="78" t="s">
        <v>180</v>
      </c>
      <c r="D452" t="s">
        <v>168</v>
      </c>
      <c r="E452" t="s">
        <v>169</v>
      </c>
      <c r="F452" t="s">
        <v>179</v>
      </c>
      <c r="G452" t="s">
        <v>177</v>
      </c>
      <c r="H452" t="s">
        <v>172</v>
      </c>
      <c r="I452" t="s">
        <v>173</v>
      </c>
      <c r="J452" t="s">
        <v>175</v>
      </c>
    </row>
    <row r="453" spans="2:10" customFormat="1" x14ac:dyDescent="0.3">
      <c r="B453" s="77">
        <v>105</v>
      </c>
      <c r="C453" s="78" t="s">
        <v>178</v>
      </c>
      <c r="D453" t="s">
        <v>168</v>
      </c>
      <c r="E453" t="s">
        <v>169</v>
      </c>
      <c r="F453" t="s">
        <v>179</v>
      </c>
      <c r="G453" t="s">
        <v>176</v>
      </c>
      <c r="H453" t="s">
        <v>172</v>
      </c>
      <c r="I453" t="s">
        <v>173</v>
      </c>
      <c r="J453" t="s">
        <v>181</v>
      </c>
    </row>
    <row r="454" spans="2:10" customFormat="1" x14ac:dyDescent="0.3">
      <c r="B454" s="77">
        <v>1</v>
      </c>
      <c r="C454" s="78" t="s">
        <v>180</v>
      </c>
      <c r="D454" t="s">
        <v>176</v>
      </c>
      <c r="E454" t="s">
        <v>174</v>
      </c>
      <c r="F454" t="s">
        <v>172</v>
      </c>
      <c r="G454" t="s">
        <v>177</v>
      </c>
      <c r="H454" t="s">
        <v>168</v>
      </c>
      <c r="I454" t="s">
        <v>173</v>
      </c>
      <c r="J454" t="s">
        <v>175</v>
      </c>
    </row>
    <row r="455" spans="2:10" customFormat="1" x14ac:dyDescent="0.3">
      <c r="B455" s="77">
        <v>2</v>
      </c>
      <c r="C455" s="78" t="s">
        <v>178</v>
      </c>
      <c r="D455" t="s">
        <v>168</v>
      </c>
      <c r="E455" t="s">
        <v>174</v>
      </c>
      <c r="F455" t="s">
        <v>170</v>
      </c>
      <c r="G455" t="s">
        <v>176</v>
      </c>
      <c r="H455" t="s">
        <v>172</v>
      </c>
      <c r="I455" t="s">
        <v>173</v>
      </c>
      <c r="J455" t="s">
        <v>175</v>
      </c>
    </row>
    <row r="456" spans="2:10" customFormat="1" x14ac:dyDescent="0.3">
      <c r="B456" s="77">
        <v>3</v>
      </c>
      <c r="C456" s="78" t="s">
        <v>180</v>
      </c>
      <c r="D456" t="s">
        <v>176</v>
      </c>
      <c r="E456" t="s">
        <v>174</v>
      </c>
      <c r="F456" t="s">
        <v>170</v>
      </c>
      <c r="G456" t="s">
        <v>177</v>
      </c>
      <c r="H456" t="s">
        <v>168</v>
      </c>
      <c r="I456" t="s">
        <v>173</v>
      </c>
      <c r="J456" t="s">
        <v>175</v>
      </c>
    </row>
    <row r="457" spans="2:10" customFormat="1" x14ac:dyDescent="0.3">
      <c r="B457" s="77">
        <v>4</v>
      </c>
      <c r="C457" s="78" t="s">
        <v>180</v>
      </c>
      <c r="D457" t="s">
        <v>176</v>
      </c>
      <c r="E457" t="s">
        <v>174</v>
      </c>
      <c r="F457" t="s">
        <v>170</v>
      </c>
      <c r="G457" t="s">
        <v>177</v>
      </c>
      <c r="H457" t="s">
        <v>172</v>
      </c>
      <c r="I457" t="s">
        <v>173</v>
      </c>
      <c r="J457" t="s">
        <v>175</v>
      </c>
    </row>
    <row r="458" spans="2:10" customFormat="1" x14ac:dyDescent="0.3">
      <c r="B458" s="77">
        <v>5</v>
      </c>
      <c r="C458" s="78" t="s">
        <v>180</v>
      </c>
      <c r="D458" t="s">
        <v>168</v>
      </c>
      <c r="E458" t="s">
        <v>174</v>
      </c>
      <c r="F458" t="s">
        <v>170</v>
      </c>
      <c r="G458" t="s">
        <v>176</v>
      </c>
      <c r="H458" t="s">
        <v>172</v>
      </c>
      <c r="I458" t="s">
        <v>173</v>
      </c>
      <c r="J458" t="s">
        <v>175</v>
      </c>
    </row>
    <row r="459" spans="2:10" customFormat="1" x14ac:dyDescent="0.3">
      <c r="B459" s="77">
        <v>6</v>
      </c>
      <c r="C459" s="78" t="s">
        <v>180</v>
      </c>
      <c r="D459" t="s">
        <v>168</v>
      </c>
      <c r="E459" t="s">
        <v>176</v>
      </c>
      <c r="F459" t="s">
        <v>170</v>
      </c>
      <c r="G459" t="s">
        <v>177</v>
      </c>
      <c r="H459" t="s">
        <v>172</v>
      </c>
      <c r="I459" t="s">
        <v>173</v>
      </c>
      <c r="J459" t="s">
        <v>175</v>
      </c>
    </row>
    <row r="460" spans="2:10" customFormat="1" x14ac:dyDescent="0.3">
      <c r="B460" s="77">
        <v>7</v>
      </c>
      <c r="C460" s="78" t="s">
        <v>180</v>
      </c>
      <c r="D460" t="s">
        <v>168</v>
      </c>
      <c r="E460" t="s">
        <v>174</v>
      </c>
      <c r="F460" t="s">
        <v>170</v>
      </c>
      <c r="G460" t="s">
        <v>177</v>
      </c>
      <c r="H460" t="s">
        <v>172</v>
      </c>
      <c r="I460" t="s">
        <v>173</v>
      </c>
      <c r="J460" t="s">
        <v>175</v>
      </c>
    </row>
    <row r="461" spans="2:10" customFormat="1" x14ac:dyDescent="0.3">
      <c r="B461" s="77">
        <v>8</v>
      </c>
      <c r="C461" s="78" t="s">
        <v>180</v>
      </c>
      <c r="D461" t="s">
        <v>168</v>
      </c>
      <c r="E461" t="s">
        <v>176</v>
      </c>
      <c r="F461" t="s">
        <v>170</v>
      </c>
      <c r="G461" t="s">
        <v>177</v>
      </c>
      <c r="H461" t="s">
        <v>172</v>
      </c>
      <c r="I461" t="s">
        <v>173</v>
      </c>
      <c r="J461" t="s">
        <v>174</v>
      </c>
    </row>
    <row r="462" spans="2:10" customFormat="1" x14ac:dyDescent="0.3">
      <c r="B462" s="77">
        <v>9</v>
      </c>
      <c r="C462" s="78" t="s">
        <v>180</v>
      </c>
      <c r="D462" t="s">
        <v>168</v>
      </c>
      <c r="E462" t="s">
        <v>176</v>
      </c>
      <c r="F462" t="s">
        <v>170</v>
      </c>
      <c r="G462" t="s">
        <v>177</v>
      </c>
      <c r="H462" t="s">
        <v>172</v>
      </c>
      <c r="I462" t="s">
        <v>174</v>
      </c>
      <c r="J462" t="s">
        <v>175</v>
      </c>
    </row>
    <row r="463" spans="2:10" customFormat="1" x14ac:dyDescent="0.3">
      <c r="B463" s="77">
        <v>10</v>
      </c>
      <c r="C463" s="78" t="s">
        <v>178</v>
      </c>
      <c r="D463" t="s">
        <v>168</v>
      </c>
      <c r="E463" t="s">
        <v>174</v>
      </c>
      <c r="F463" t="s">
        <v>179</v>
      </c>
      <c r="G463" t="s">
        <v>176</v>
      </c>
      <c r="H463" t="s">
        <v>172</v>
      </c>
      <c r="I463" t="s">
        <v>173</v>
      </c>
      <c r="J463" t="s">
        <v>175</v>
      </c>
    </row>
    <row r="464" spans="2:10" customFormat="1" x14ac:dyDescent="0.3">
      <c r="B464" s="77">
        <v>11</v>
      </c>
      <c r="C464" s="78" t="s">
        <v>180</v>
      </c>
      <c r="D464" t="s">
        <v>176</v>
      </c>
      <c r="E464" t="s">
        <v>174</v>
      </c>
      <c r="F464" t="s">
        <v>179</v>
      </c>
      <c r="G464" t="s">
        <v>177</v>
      </c>
      <c r="H464" t="s">
        <v>168</v>
      </c>
      <c r="I464" t="s">
        <v>173</v>
      </c>
      <c r="J464" t="s">
        <v>175</v>
      </c>
    </row>
    <row r="465" spans="2:10" customFormat="1" x14ac:dyDescent="0.3">
      <c r="B465" s="77">
        <v>12</v>
      </c>
      <c r="C465" s="78" t="s">
        <v>180</v>
      </c>
      <c r="D465" t="s">
        <v>176</v>
      </c>
      <c r="E465" t="s">
        <v>174</v>
      </c>
      <c r="F465" t="s">
        <v>179</v>
      </c>
      <c r="G465" t="s">
        <v>177</v>
      </c>
      <c r="H465" t="s">
        <v>172</v>
      </c>
      <c r="I465" t="s">
        <v>173</v>
      </c>
      <c r="J465" t="s">
        <v>175</v>
      </c>
    </row>
    <row r="466" spans="2:10" customFormat="1" x14ac:dyDescent="0.3">
      <c r="B466" s="77">
        <v>13</v>
      </c>
      <c r="C466" s="78" t="s">
        <v>180</v>
      </c>
      <c r="D466" t="s">
        <v>168</v>
      </c>
      <c r="E466" t="s">
        <v>174</v>
      </c>
      <c r="F466" t="s">
        <v>179</v>
      </c>
      <c r="G466" t="s">
        <v>176</v>
      </c>
      <c r="H466" t="s">
        <v>172</v>
      </c>
      <c r="I466" t="s">
        <v>173</v>
      </c>
      <c r="J466" t="s">
        <v>175</v>
      </c>
    </row>
    <row r="467" spans="2:10" customFormat="1" x14ac:dyDescent="0.3">
      <c r="B467" s="77">
        <v>14</v>
      </c>
      <c r="C467" s="78" t="s">
        <v>180</v>
      </c>
      <c r="D467" t="s">
        <v>168</v>
      </c>
      <c r="E467" t="s">
        <v>176</v>
      </c>
      <c r="F467" t="s">
        <v>179</v>
      </c>
      <c r="G467" t="s">
        <v>177</v>
      </c>
      <c r="H467" t="s">
        <v>172</v>
      </c>
      <c r="I467" t="s">
        <v>173</v>
      </c>
      <c r="J467" t="s">
        <v>175</v>
      </c>
    </row>
    <row r="468" spans="2:10" customFormat="1" x14ac:dyDescent="0.3">
      <c r="B468" s="77">
        <v>15</v>
      </c>
      <c r="C468" s="78" t="s">
        <v>180</v>
      </c>
      <c r="D468" t="s">
        <v>168</v>
      </c>
      <c r="E468" t="s">
        <v>174</v>
      </c>
      <c r="F468" t="s">
        <v>179</v>
      </c>
      <c r="G468" t="s">
        <v>177</v>
      </c>
      <c r="H468" t="s">
        <v>172</v>
      </c>
      <c r="I468" t="s">
        <v>173</v>
      </c>
      <c r="J468" t="s">
        <v>175</v>
      </c>
    </row>
    <row r="469" spans="2:10" customFormat="1" x14ac:dyDescent="0.3">
      <c r="B469" s="77">
        <v>16</v>
      </c>
      <c r="C469" s="78" t="s">
        <v>180</v>
      </c>
      <c r="D469" t="s">
        <v>168</v>
      </c>
      <c r="E469" t="s">
        <v>176</v>
      </c>
      <c r="F469" t="s">
        <v>179</v>
      </c>
      <c r="G469" t="s">
        <v>177</v>
      </c>
      <c r="H469" t="s">
        <v>172</v>
      </c>
      <c r="I469" t="s">
        <v>173</v>
      </c>
      <c r="J469" t="s">
        <v>174</v>
      </c>
    </row>
    <row r="470" spans="2:10" customFormat="1" x14ac:dyDescent="0.3">
      <c r="B470" s="77">
        <v>17</v>
      </c>
      <c r="C470" s="78" t="s">
        <v>180</v>
      </c>
      <c r="D470" t="s">
        <v>168</v>
      </c>
      <c r="E470" t="s">
        <v>176</v>
      </c>
      <c r="F470" t="s">
        <v>179</v>
      </c>
      <c r="G470" t="s">
        <v>177</v>
      </c>
      <c r="H470" t="s">
        <v>172</v>
      </c>
      <c r="I470" t="s">
        <v>174</v>
      </c>
      <c r="J470" t="s">
        <v>175</v>
      </c>
    </row>
    <row r="471" spans="2:10" customFormat="1" x14ac:dyDescent="0.3">
      <c r="B471" s="77">
        <v>18</v>
      </c>
      <c r="C471" s="78" t="s">
        <v>178</v>
      </c>
      <c r="D471" t="s">
        <v>168</v>
      </c>
      <c r="E471" t="s">
        <v>174</v>
      </c>
      <c r="F471" t="s">
        <v>179</v>
      </c>
      <c r="G471" t="s">
        <v>176</v>
      </c>
      <c r="H471" t="s">
        <v>170</v>
      </c>
      <c r="I471" t="s">
        <v>173</v>
      </c>
      <c r="J471" t="s">
        <v>175</v>
      </c>
    </row>
    <row r="472" spans="2:10" customFormat="1" x14ac:dyDescent="0.3">
      <c r="B472" s="77">
        <v>19</v>
      </c>
      <c r="C472" s="78" t="s">
        <v>167</v>
      </c>
      <c r="D472" t="s">
        <v>176</v>
      </c>
      <c r="E472" t="s">
        <v>174</v>
      </c>
      <c r="F472" t="s">
        <v>170</v>
      </c>
      <c r="G472" t="s">
        <v>177</v>
      </c>
      <c r="H472" t="s">
        <v>172</v>
      </c>
      <c r="I472" t="s">
        <v>173</v>
      </c>
      <c r="J472" t="s">
        <v>175</v>
      </c>
    </row>
    <row r="473" spans="2:10" customFormat="1" x14ac:dyDescent="0.3">
      <c r="B473" s="77">
        <v>20</v>
      </c>
      <c r="C473" s="78" t="s">
        <v>167</v>
      </c>
      <c r="D473" t="s">
        <v>168</v>
      </c>
      <c r="E473" t="s">
        <v>174</v>
      </c>
      <c r="F473" t="s">
        <v>170</v>
      </c>
      <c r="G473" t="s">
        <v>176</v>
      </c>
      <c r="H473" t="s">
        <v>172</v>
      </c>
      <c r="I473" t="s">
        <v>173</v>
      </c>
      <c r="J473" t="s">
        <v>175</v>
      </c>
    </row>
    <row r="474" spans="2:10" customFormat="1" x14ac:dyDescent="0.3">
      <c r="B474" s="77">
        <v>21</v>
      </c>
      <c r="C474" s="78" t="s">
        <v>167</v>
      </c>
      <c r="D474" t="s">
        <v>168</v>
      </c>
      <c r="E474" t="s">
        <v>176</v>
      </c>
      <c r="F474" t="s">
        <v>170</v>
      </c>
      <c r="G474" t="s">
        <v>177</v>
      </c>
      <c r="H474" t="s">
        <v>172</v>
      </c>
      <c r="I474" t="s">
        <v>173</v>
      </c>
      <c r="J474" t="s">
        <v>175</v>
      </c>
    </row>
    <row r="475" spans="2:10" customFormat="1" x14ac:dyDescent="0.3">
      <c r="B475" s="77">
        <v>22</v>
      </c>
      <c r="C475" s="78" t="s">
        <v>167</v>
      </c>
      <c r="D475" t="s">
        <v>168</v>
      </c>
      <c r="E475" t="s">
        <v>174</v>
      </c>
      <c r="F475" t="s">
        <v>170</v>
      </c>
      <c r="G475" t="s">
        <v>177</v>
      </c>
      <c r="H475" t="s">
        <v>172</v>
      </c>
      <c r="I475" t="s">
        <v>173</v>
      </c>
      <c r="J475" t="s">
        <v>175</v>
      </c>
    </row>
    <row r="476" spans="2:10" customFormat="1" x14ac:dyDescent="0.3">
      <c r="B476" s="77">
        <v>23</v>
      </c>
      <c r="C476" s="78" t="s">
        <v>167</v>
      </c>
      <c r="D476" t="s">
        <v>168</v>
      </c>
      <c r="E476" t="s">
        <v>176</v>
      </c>
      <c r="F476" t="s">
        <v>170</v>
      </c>
      <c r="G476" t="s">
        <v>177</v>
      </c>
      <c r="H476" t="s">
        <v>172</v>
      </c>
      <c r="I476" t="s">
        <v>173</v>
      </c>
      <c r="J476" t="s">
        <v>174</v>
      </c>
    </row>
    <row r="477" spans="2:10" customFormat="1" x14ac:dyDescent="0.3">
      <c r="B477" s="77">
        <v>24</v>
      </c>
      <c r="C477" s="78" t="s">
        <v>167</v>
      </c>
      <c r="D477" t="s">
        <v>168</v>
      </c>
      <c r="E477" t="s">
        <v>176</v>
      </c>
      <c r="F477" t="s">
        <v>170</v>
      </c>
      <c r="G477" t="s">
        <v>177</v>
      </c>
      <c r="H477" t="s">
        <v>172</v>
      </c>
      <c r="I477" t="s">
        <v>174</v>
      </c>
      <c r="J477" t="s">
        <v>175</v>
      </c>
    </row>
    <row r="478" spans="2:10" customFormat="1" x14ac:dyDescent="0.3">
      <c r="B478" s="77">
        <v>25</v>
      </c>
      <c r="C478" s="78" t="s">
        <v>180</v>
      </c>
      <c r="D478" t="s">
        <v>176</v>
      </c>
      <c r="E478" t="s">
        <v>174</v>
      </c>
      <c r="F478" t="s">
        <v>179</v>
      </c>
      <c r="G478" t="s">
        <v>177</v>
      </c>
      <c r="H478" t="s">
        <v>170</v>
      </c>
      <c r="I478" t="s">
        <v>173</v>
      </c>
      <c r="J478" t="s">
        <v>175</v>
      </c>
    </row>
    <row r="479" spans="2:10" customFormat="1" x14ac:dyDescent="0.3">
      <c r="B479" s="77">
        <v>26</v>
      </c>
      <c r="C479" s="78" t="s">
        <v>180</v>
      </c>
      <c r="D479" t="s">
        <v>168</v>
      </c>
      <c r="E479" t="s">
        <v>174</v>
      </c>
      <c r="F479" t="s">
        <v>179</v>
      </c>
      <c r="G479" t="s">
        <v>176</v>
      </c>
      <c r="H479" t="s">
        <v>170</v>
      </c>
      <c r="I479" t="s">
        <v>173</v>
      </c>
      <c r="J479" t="s">
        <v>175</v>
      </c>
    </row>
    <row r="480" spans="2:10" customFormat="1" x14ac:dyDescent="0.3">
      <c r="B480" s="77">
        <v>27</v>
      </c>
      <c r="C480" s="78" t="s">
        <v>180</v>
      </c>
      <c r="D480" t="s">
        <v>168</v>
      </c>
      <c r="E480" t="s">
        <v>176</v>
      </c>
      <c r="F480" t="s">
        <v>179</v>
      </c>
      <c r="G480" t="s">
        <v>177</v>
      </c>
      <c r="H480" t="s">
        <v>170</v>
      </c>
      <c r="I480" t="s">
        <v>173</v>
      </c>
      <c r="J480" t="s">
        <v>175</v>
      </c>
    </row>
    <row r="481" spans="2:10" customFormat="1" x14ac:dyDescent="0.3">
      <c r="B481" s="77">
        <v>28</v>
      </c>
      <c r="C481" s="78" t="s">
        <v>180</v>
      </c>
      <c r="D481" t="s">
        <v>168</v>
      </c>
      <c r="E481" t="s">
        <v>174</v>
      </c>
      <c r="F481" t="s">
        <v>179</v>
      </c>
      <c r="G481" t="s">
        <v>177</v>
      </c>
      <c r="H481" t="s">
        <v>170</v>
      </c>
      <c r="I481" t="s">
        <v>173</v>
      </c>
      <c r="J481" t="s">
        <v>175</v>
      </c>
    </row>
    <row r="482" spans="2:10" customFormat="1" x14ac:dyDescent="0.3">
      <c r="B482" s="77">
        <v>29</v>
      </c>
      <c r="C482" s="78" t="s">
        <v>180</v>
      </c>
      <c r="D482" t="s">
        <v>168</v>
      </c>
      <c r="E482" t="s">
        <v>176</v>
      </c>
      <c r="F482" t="s">
        <v>179</v>
      </c>
      <c r="G482" t="s">
        <v>177</v>
      </c>
      <c r="H482" t="s">
        <v>170</v>
      </c>
      <c r="I482" t="s">
        <v>173</v>
      </c>
      <c r="J482" t="s">
        <v>174</v>
      </c>
    </row>
    <row r="483" spans="2:10" customFormat="1" x14ac:dyDescent="0.3">
      <c r="B483" s="77">
        <v>30</v>
      </c>
      <c r="C483" s="78" t="s">
        <v>180</v>
      </c>
      <c r="D483" t="s">
        <v>168</v>
      </c>
      <c r="E483" t="s">
        <v>176</v>
      </c>
      <c r="F483" t="s">
        <v>179</v>
      </c>
      <c r="G483" t="s">
        <v>177</v>
      </c>
      <c r="H483" t="s">
        <v>170</v>
      </c>
      <c r="I483" t="s">
        <v>174</v>
      </c>
      <c r="J483" t="s">
        <v>175</v>
      </c>
    </row>
    <row r="484" spans="2:10" customFormat="1" x14ac:dyDescent="0.3">
      <c r="B484" s="77">
        <v>31</v>
      </c>
      <c r="C484" s="78" t="s">
        <v>167</v>
      </c>
      <c r="D484" t="s">
        <v>176</v>
      </c>
      <c r="E484" t="s">
        <v>181</v>
      </c>
      <c r="F484" t="s">
        <v>170</v>
      </c>
      <c r="G484" t="s">
        <v>174</v>
      </c>
      <c r="H484" t="s">
        <v>172</v>
      </c>
      <c r="I484" t="s">
        <v>173</v>
      </c>
      <c r="J484" t="s">
        <v>175</v>
      </c>
    </row>
    <row r="485" spans="2:10" customFormat="1" x14ac:dyDescent="0.3">
      <c r="B485" s="77">
        <v>32</v>
      </c>
      <c r="C485" s="78" t="s">
        <v>167</v>
      </c>
      <c r="D485" t="s">
        <v>176</v>
      </c>
      <c r="E485" t="s">
        <v>181</v>
      </c>
      <c r="F485" t="s">
        <v>170</v>
      </c>
      <c r="G485" t="s">
        <v>177</v>
      </c>
      <c r="H485" t="s">
        <v>172</v>
      </c>
      <c r="I485" t="s">
        <v>173</v>
      </c>
      <c r="J485" t="s">
        <v>175</v>
      </c>
    </row>
    <row r="486" spans="2:10" customFormat="1" x14ac:dyDescent="0.3">
      <c r="B486" s="77">
        <v>33</v>
      </c>
      <c r="C486" s="78" t="s">
        <v>167</v>
      </c>
      <c r="D486" t="s">
        <v>181</v>
      </c>
      <c r="E486" t="s">
        <v>174</v>
      </c>
      <c r="F486" t="s">
        <v>170</v>
      </c>
      <c r="G486" t="s">
        <v>177</v>
      </c>
      <c r="H486" t="s">
        <v>172</v>
      </c>
      <c r="I486" t="s">
        <v>173</v>
      </c>
      <c r="J486" t="s">
        <v>175</v>
      </c>
    </row>
    <row r="487" spans="2:10" customFormat="1" x14ac:dyDescent="0.3">
      <c r="B487" s="77">
        <v>34</v>
      </c>
      <c r="C487" s="78" t="s">
        <v>167</v>
      </c>
      <c r="D487" t="s">
        <v>176</v>
      </c>
      <c r="E487" t="s">
        <v>181</v>
      </c>
      <c r="F487" t="s">
        <v>170</v>
      </c>
      <c r="G487" t="s">
        <v>177</v>
      </c>
      <c r="H487" t="s">
        <v>172</v>
      </c>
      <c r="I487" t="s">
        <v>173</v>
      </c>
      <c r="J487" t="s">
        <v>174</v>
      </c>
    </row>
    <row r="488" spans="2:10" customFormat="1" x14ac:dyDescent="0.3">
      <c r="B488" s="77">
        <v>35</v>
      </c>
      <c r="C488" s="78" t="s">
        <v>167</v>
      </c>
      <c r="D488" t="s">
        <v>176</v>
      </c>
      <c r="E488" t="s">
        <v>181</v>
      </c>
      <c r="F488" t="s">
        <v>170</v>
      </c>
      <c r="G488" t="s">
        <v>177</v>
      </c>
      <c r="H488" t="s">
        <v>172</v>
      </c>
      <c r="I488" t="s">
        <v>174</v>
      </c>
      <c r="J488" t="s">
        <v>175</v>
      </c>
    </row>
    <row r="489" spans="2:10" customFormat="1" x14ac:dyDescent="0.3">
      <c r="B489" s="77">
        <v>36</v>
      </c>
      <c r="C489" s="78" t="s">
        <v>167</v>
      </c>
      <c r="D489" t="s">
        <v>168</v>
      </c>
      <c r="E489" t="s">
        <v>181</v>
      </c>
      <c r="F489" t="s">
        <v>170</v>
      </c>
      <c r="G489" t="s">
        <v>176</v>
      </c>
      <c r="H489" t="s">
        <v>172</v>
      </c>
      <c r="I489" t="s">
        <v>173</v>
      </c>
      <c r="J489" t="s">
        <v>175</v>
      </c>
    </row>
    <row r="490" spans="2:10" customFormat="1" x14ac:dyDescent="0.3">
      <c r="B490" s="77">
        <v>37</v>
      </c>
      <c r="C490" s="78" t="s">
        <v>167</v>
      </c>
      <c r="D490" t="s">
        <v>168</v>
      </c>
      <c r="E490" t="s">
        <v>181</v>
      </c>
      <c r="F490" t="s">
        <v>170</v>
      </c>
      <c r="G490" t="s">
        <v>174</v>
      </c>
      <c r="H490" t="s">
        <v>172</v>
      </c>
      <c r="I490" t="s">
        <v>173</v>
      </c>
      <c r="J490" t="s">
        <v>175</v>
      </c>
    </row>
    <row r="491" spans="2:10" customFormat="1" x14ac:dyDescent="0.3">
      <c r="B491" s="77">
        <v>38</v>
      </c>
      <c r="C491" s="78" t="s">
        <v>167</v>
      </c>
      <c r="D491" t="s">
        <v>168</v>
      </c>
      <c r="E491" t="s">
        <v>181</v>
      </c>
      <c r="F491" t="s">
        <v>170</v>
      </c>
      <c r="G491" t="s">
        <v>176</v>
      </c>
      <c r="H491" t="s">
        <v>172</v>
      </c>
      <c r="I491" t="s">
        <v>173</v>
      </c>
      <c r="J491" t="s">
        <v>174</v>
      </c>
    </row>
    <row r="492" spans="2:10" customFormat="1" x14ac:dyDescent="0.3">
      <c r="B492" s="77">
        <v>39</v>
      </c>
      <c r="C492" s="78" t="s">
        <v>167</v>
      </c>
      <c r="D492" t="s">
        <v>168</v>
      </c>
      <c r="E492" t="s">
        <v>181</v>
      </c>
      <c r="F492" t="s">
        <v>170</v>
      </c>
      <c r="G492" t="s">
        <v>176</v>
      </c>
      <c r="H492" t="s">
        <v>172</v>
      </c>
      <c r="I492" t="s">
        <v>174</v>
      </c>
      <c r="J492" t="s">
        <v>175</v>
      </c>
    </row>
    <row r="493" spans="2:10" customFormat="1" x14ac:dyDescent="0.3">
      <c r="B493" s="77">
        <v>40</v>
      </c>
      <c r="C493" s="78" t="s">
        <v>167</v>
      </c>
      <c r="D493" t="s">
        <v>168</v>
      </c>
      <c r="E493" t="s">
        <v>181</v>
      </c>
      <c r="F493" t="s">
        <v>170</v>
      </c>
      <c r="G493" t="s">
        <v>177</v>
      </c>
      <c r="H493" t="s">
        <v>172</v>
      </c>
      <c r="I493" t="s">
        <v>173</v>
      </c>
      <c r="J493" t="s">
        <v>175</v>
      </c>
    </row>
    <row r="494" spans="2:10" customFormat="1" x14ac:dyDescent="0.3">
      <c r="B494" s="77">
        <v>41</v>
      </c>
      <c r="C494" s="78" t="s">
        <v>167</v>
      </c>
      <c r="D494" t="s">
        <v>168</v>
      </c>
      <c r="E494" t="s">
        <v>176</v>
      </c>
      <c r="F494" t="s">
        <v>170</v>
      </c>
      <c r="G494" t="s">
        <v>177</v>
      </c>
      <c r="H494" t="s">
        <v>172</v>
      </c>
      <c r="I494" t="s">
        <v>173</v>
      </c>
      <c r="J494" t="s">
        <v>181</v>
      </c>
    </row>
    <row r="495" spans="2:10" customFormat="1" x14ac:dyDescent="0.3">
      <c r="B495" s="77">
        <v>42</v>
      </c>
      <c r="C495" s="78" t="s">
        <v>167</v>
      </c>
      <c r="D495" t="s">
        <v>168</v>
      </c>
      <c r="E495" t="s">
        <v>176</v>
      </c>
      <c r="F495" t="s">
        <v>170</v>
      </c>
      <c r="G495" t="s">
        <v>177</v>
      </c>
      <c r="H495" t="s">
        <v>172</v>
      </c>
      <c r="I495" t="s">
        <v>181</v>
      </c>
      <c r="J495" t="s">
        <v>175</v>
      </c>
    </row>
    <row r="496" spans="2:10" customFormat="1" x14ac:dyDescent="0.3">
      <c r="B496" s="77">
        <v>43</v>
      </c>
      <c r="C496" s="78" t="s">
        <v>167</v>
      </c>
      <c r="D496" t="s">
        <v>168</v>
      </c>
      <c r="E496" t="s">
        <v>181</v>
      </c>
      <c r="F496" t="s">
        <v>170</v>
      </c>
      <c r="G496" t="s">
        <v>177</v>
      </c>
      <c r="H496" t="s">
        <v>172</v>
      </c>
      <c r="I496" t="s">
        <v>173</v>
      </c>
      <c r="J496" t="s">
        <v>174</v>
      </c>
    </row>
    <row r="497" spans="2:10" customFormat="1" x14ac:dyDescent="0.3">
      <c r="B497" s="77">
        <v>44</v>
      </c>
      <c r="C497" s="78" t="s">
        <v>167</v>
      </c>
      <c r="D497" t="s">
        <v>168</v>
      </c>
      <c r="E497" t="s">
        <v>181</v>
      </c>
      <c r="F497" t="s">
        <v>170</v>
      </c>
      <c r="G497" t="s">
        <v>177</v>
      </c>
      <c r="H497" t="s">
        <v>172</v>
      </c>
      <c r="I497" t="s">
        <v>174</v>
      </c>
      <c r="J497" t="s">
        <v>175</v>
      </c>
    </row>
    <row r="498" spans="2:10" customFormat="1" x14ac:dyDescent="0.3">
      <c r="B498" s="77">
        <v>45</v>
      </c>
      <c r="C498" s="78" t="s">
        <v>167</v>
      </c>
      <c r="D498" t="s">
        <v>168</v>
      </c>
      <c r="E498" t="s">
        <v>176</v>
      </c>
      <c r="F498" t="s">
        <v>170</v>
      </c>
      <c r="G498" t="s">
        <v>177</v>
      </c>
      <c r="H498" t="s">
        <v>172</v>
      </c>
      <c r="I498" t="s">
        <v>181</v>
      </c>
      <c r="J498" t="s">
        <v>174</v>
      </c>
    </row>
    <row r="499" spans="2:10" customFormat="1" x14ac:dyDescent="0.3">
      <c r="B499" s="77">
        <v>46</v>
      </c>
      <c r="C499" s="78" t="s">
        <v>178</v>
      </c>
      <c r="D499" t="s">
        <v>176</v>
      </c>
      <c r="E499" t="s">
        <v>169</v>
      </c>
      <c r="F499" t="s">
        <v>172</v>
      </c>
      <c r="G499" t="s">
        <v>174</v>
      </c>
      <c r="H499" t="s">
        <v>168</v>
      </c>
      <c r="I499" t="s">
        <v>173</v>
      </c>
      <c r="J499" t="s">
        <v>175</v>
      </c>
    </row>
    <row r="500" spans="2:10" customFormat="1" x14ac:dyDescent="0.3">
      <c r="B500" s="77">
        <v>47</v>
      </c>
      <c r="C500" s="78" t="s">
        <v>180</v>
      </c>
      <c r="D500" t="s">
        <v>176</v>
      </c>
      <c r="E500" t="s">
        <v>174</v>
      </c>
      <c r="F500" t="s">
        <v>169</v>
      </c>
      <c r="G500" t="s">
        <v>177</v>
      </c>
      <c r="H500" t="s">
        <v>168</v>
      </c>
      <c r="I500" t="s">
        <v>173</v>
      </c>
      <c r="J500" t="s">
        <v>175</v>
      </c>
    </row>
  </sheetData>
  <autoFilter ref="C5:J500" xr:uid="{59239466-50B2-4046-B1FC-E43DC801B3AF}"/>
  <mergeCells count="6">
    <mergeCell ref="O5:Q5"/>
    <mergeCell ref="K3:M3"/>
    <mergeCell ref="K2:M2"/>
    <mergeCell ref="K247:M247"/>
    <mergeCell ref="K5:M5"/>
    <mergeCell ref="K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A6E8-2BF6-4B39-B37C-7117B057AAEB}">
  <sheetPr>
    <pageSetUpPr fitToPage="1"/>
  </sheetPr>
  <dimension ref="A1:P59"/>
  <sheetViews>
    <sheetView zoomScale="85" zoomScaleNormal="110" workbookViewId="0"/>
  </sheetViews>
  <sheetFormatPr defaultRowHeight="14.4" x14ac:dyDescent="0.3"/>
  <cols>
    <col min="1" max="1" width="3.33203125" customWidth="1"/>
    <col min="2" max="7" width="22.21875" customWidth="1"/>
    <col min="8" max="8" width="38.33203125" bestFit="1" customWidth="1"/>
    <col min="9" max="16" width="8.88671875" style="9"/>
  </cols>
  <sheetData>
    <row r="1" spans="1:8" ht="28.8" x14ac:dyDescent="0.55000000000000004">
      <c r="A1" s="9"/>
      <c r="B1" s="204" t="s">
        <v>55</v>
      </c>
      <c r="C1" s="204"/>
      <c r="D1" s="204"/>
      <c r="E1" s="204"/>
      <c r="F1" s="204"/>
      <c r="G1" s="204"/>
      <c r="H1" s="204"/>
    </row>
    <row r="2" spans="1:8" ht="15" thickBot="1" x14ac:dyDescent="0.35">
      <c r="A2" s="9"/>
      <c r="B2" s="9"/>
      <c r="C2" s="9"/>
      <c r="D2" s="9"/>
      <c r="E2" s="9"/>
      <c r="F2" s="9"/>
      <c r="G2" s="9"/>
      <c r="H2" s="9"/>
    </row>
    <row r="3" spans="1:8" x14ac:dyDescent="0.3">
      <c r="A3" s="9"/>
      <c r="B3" s="215" t="s">
        <v>56</v>
      </c>
      <c r="C3" s="239" t="s">
        <v>106</v>
      </c>
      <c r="D3" s="225" t="s">
        <v>115</v>
      </c>
      <c r="E3" s="225" t="s">
        <v>143</v>
      </c>
      <c r="F3" s="225" t="s">
        <v>58</v>
      </c>
      <c r="G3" s="232" t="s">
        <v>201</v>
      </c>
      <c r="H3" s="201" t="s">
        <v>202</v>
      </c>
    </row>
    <row r="4" spans="1:8" ht="15" thickBot="1" x14ac:dyDescent="0.35">
      <c r="A4" s="9"/>
      <c r="B4" s="217"/>
      <c r="C4" s="240"/>
      <c r="D4" s="229"/>
      <c r="E4" s="229"/>
      <c r="F4" s="229"/>
      <c r="G4" s="233"/>
      <c r="H4" s="201"/>
    </row>
    <row r="5" spans="1:8" x14ac:dyDescent="0.3">
      <c r="A5" s="9"/>
      <c r="B5" s="218" t="s">
        <v>57</v>
      </c>
      <c r="C5" s="240"/>
      <c r="D5" s="229"/>
      <c r="E5" s="229"/>
      <c r="F5" s="229"/>
      <c r="G5" s="233"/>
      <c r="H5" s="201"/>
    </row>
    <row r="6" spans="1:8" ht="15" thickBot="1" x14ac:dyDescent="0.35">
      <c r="A6" s="9"/>
      <c r="B6" s="219"/>
      <c r="C6" s="241"/>
      <c r="D6" s="229"/>
      <c r="E6" s="229"/>
      <c r="F6" s="229"/>
      <c r="G6" s="233"/>
      <c r="H6" s="201"/>
    </row>
    <row r="7" spans="1:8" x14ac:dyDescent="0.3">
      <c r="A7" s="9"/>
      <c r="B7" s="225" t="s">
        <v>58</v>
      </c>
      <c r="C7" s="242" t="s">
        <v>105</v>
      </c>
      <c r="D7" s="229"/>
      <c r="E7" s="229"/>
      <c r="F7" s="229"/>
      <c r="G7" s="233"/>
      <c r="H7" s="201"/>
    </row>
    <row r="8" spans="1:8" ht="15" thickBot="1" x14ac:dyDescent="0.35">
      <c r="A8" s="9"/>
      <c r="B8" s="226"/>
      <c r="C8" s="243"/>
      <c r="D8" s="229"/>
      <c r="E8" s="229"/>
      <c r="F8" s="229"/>
      <c r="G8" s="233"/>
      <c r="H8" s="201"/>
    </row>
    <row r="9" spans="1:8" x14ac:dyDescent="0.3">
      <c r="A9" s="9"/>
      <c r="B9" s="227" t="s">
        <v>59</v>
      </c>
      <c r="C9" s="243"/>
      <c r="D9" s="229"/>
      <c r="E9" s="229"/>
      <c r="F9" s="229"/>
      <c r="G9" s="233"/>
      <c r="H9" s="201"/>
    </row>
    <row r="10" spans="1:8" ht="15" thickBot="1" x14ac:dyDescent="0.35">
      <c r="A10" s="9"/>
      <c r="B10" s="228"/>
      <c r="C10" s="244"/>
      <c r="D10" s="229"/>
      <c r="E10" s="229"/>
      <c r="F10" s="229"/>
      <c r="G10" s="233"/>
      <c r="H10" s="201"/>
    </row>
    <row r="11" spans="1:8" ht="15" thickBot="1" x14ac:dyDescent="0.35">
      <c r="A11" s="9"/>
      <c r="B11" s="9"/>
      <c r="C11" s="10"/>
      <c r="D11" s="226"/>
      <c r="E11" s="229"/>
      <c r="F11" s="229"/>
      <c r="G11" s="233"/>
      <c r="H11" s="201"/>
    </row>
    <row r="12" spans="1:8" ht="15" thickBot="1" x14ac:dyDescent="0.35">
      <c r="A12" s="9"/>
      <c r="B12" s="9"/>
      <c r="C12" s="9"/>
      <c r="D12" s="245" t="s">
        <v>116</v>
      </c>
      <c r="E12" s="229"/>
      <c r="F12" s="229"/>
      <c r="G12" s="233"/>
      <c r="H12" s="201"/>
    </row>
    <row r="13" spans="1:8" x14ac:dyDescent="0.3">
      <c r="A13" s="9"/>
      <c r="B13" s="9"/>
      <c r="C13" s="215" t="s">
        <v>111</v>
      </c>
      <c r="D13" s="246"/>
      <c r="E13" s="229"/>
      <c r="F13" s="229"/>
      <c r="G13" s="233"/>
      <c r="H13" s="201"/>
    </row>
    <row r="14" spans="1:8" x14ac:dyDescent="0.3">
      <c r="A14" s="9"/>
      <c r="B14" s="9"/>
      <c r="C14" s="216"/>
      <c r="D14" s="246"/>
      <c r="E14" s="229"/>
      <c r="F14" s="229"/>
      <c r="G14" s="233"/>
      <c r="H14" s="201"/>
    </row>
    <row r="15" spans="1:8" x14ac:dyDescent="0.3">
      <c r="A15" s="9"/>
      <c r="B15" s="9"/>
      <c r="C15" s="216"/>
      <c r="D15" s="246"/>
      <c r="E15" s="229"/>
      <c r="F15" s="229"/>
      <c r="G15" s="233"/>
      <c r="H15" s="201"/>
    </row>
    <row r="16" spans="1:8" ht="15" thickBot="1" x14ac:dyDescent="0.35">
      <c r="A16" s="9"/>
      <c r="B16" s="9"/>
      <c r="C16" s="217"/>
      <c r="D16" s="246"/>
      <c r="E16" s="229"/>
      <c r="F16" s="229"/>
      <c r="G16" s="233"/>
      <c r="H16" s="201"/>
    </row>
    <row r="17" spans="1:8" x14ac:dyDescent="0.3">
      <c r="A17" s="9"/>
      <c r="B17" s="218" t="s">
        <v>63</v>
      </c>
      <c r="C17" s="222" t="s">
        <v>112</v>
      </c>
      <c r="D17" s="246"/>
      <c r="E17" s="229"/>
      <c r="F17" s="229"/>
      <c r="G17" s="233"/>
      <c r="H17" s="201"/>
    </row>
    <row r="18" spans="1:8" ht="15" thickBot="1" x14ac:dyDescent="0.35">
      <c r="A18" s="9"/>
      <c r="B18" s="219"/>
      <c r="C18" s="223"/>
      <c r="D18" s="246"/>
      <c r="E18" s="229"/>
      <c r="F18" s="229"/>
      <c r="G18" s="233"/>
      <c r="H18" s="201"/>
    </row>
    <row r="19" spans="1:8" x14ac:dyDescent="0.3">
      <c r="A19" s="9"/>
      <c r="B19" s="220" t="s">
        <v>64</v>
      </c>
      <c r="C19" s="223"/>
      <c r="D19" s="246"/>
      <c r="E19" s="229"/>
      <c r="F19" s="229"/>
      <c r="G19" s="233"/>
      <c r="H19" s="201"/>
    </row>
    <row r="20" spans="1:8" ht="15" thickBot="1" x14ac:dyDescent="0.35">
      <c r="A20" s="9"/>
      <c r="B20" s="221"/>
      <c r="C20" s="224"/>
      <c r="D20" s="247"/>
      <c r="E20" s="229"/>
      <c r="F20" s="229"/>
      <c r="G20" s="233"/>
      <c r="H20" s="201"/>
    </row>
    <row r="21" spans="1:8" ht="15" thickBot="1" x14ac:dyDescent="0.35">
      <c r="A21" s="9"/>
      <c r="B21" s="9"/>
      <c r="C21" s="9"/>
      <c r="D21" s="9"/>
      <c r="E21" s="229"/>
      <c r="F21" s="229"/>
      <c r="G21" s="233"/>
      <c r="H21" s="202"/>
    </row>
    <row r="22" spans="1:8" ht="15" thickBot="1" x14ac:dyDescent="0.35">
      <c r="A22" s="9"/>
      <c r="B22" s="9"/>
      <c r="C22" s="9"/>
      <c r="D22" s="9"/>
      <c r="E22" s="230" t="s">
        <v>60</v>
      </c>
      <c r="F22" s="230" t="s">
        <v>144</v>
      </c>
      <c r="G22" s="230" t="s">
        <v>200</v>
      </c>
      <c r="H22" s="203" t="s">
        <v>203</v>
      </c>
    </row>
    <row r="23" spans="1:8" x14ac:dyDescent="0.3">
      <c r="A23" s="9"/>
      <c r="B23" s="205" t="s">
        <v>60</v>
      </c>
      <c r="C23" s="205" t="s">
        <v>109</v>
      </c>
      <c r="D23" s="230" t="s">
        <v>141</v>
      </c>
      <c r="E23" s="231"/>
      <c r="F23" s="231"/>
      <c r="G23" s="231"/>
      <c r="H23" s="203"/>
    </row>
    <row r="24" spans="1:8" ht="15" thickBot="1" x14ac:dyDescent="0.35">
      <c r="A24" s="9"/>
      <c r="B24" s="206"/>
      <c r="C24" s="207"/>
      <c r="D24" s="231"/>
      <c r="E24" s="231"/>
      <c r="F24" s="231"/>
      <c r="G24" s="231"/>
      <c r="H24" s="203"/>
    </row>
    <row r="25" spans="1:8" x14ac:dyDescent="0.3">
      <c r="A25" s="9"/>
      <c r="B25" s="208" t="s">
        <v>54</v>
      </c>
      <c r="C25" s="207"/>
      <c r="D25" s="231"/>
      <c r="E25" s="231"/>
      <c r="F25" s="231"/>
      <c r="G25" s="231"/>
      <c r="H25" s="203"/>
    </row>
    <row r="26" spans="1:8" ht="15" thickBot="1" x14ac:dyDescent="0.35">
      <c r="A26" s="9"/>
      <c r="B26" s="209"/>
      <c r="C26" s="206"/>
      <c r="D26" s="231"/>
      <c r="E26" s="231"/>
      <c r="F26" s="231"/>
      <c r="G26" s="231"/>
      <c r="H26" s="203"/>
    </row>
    <row r="27" spans="1:8" x14ac:dyDescent="0.3">
      <c r="A27" s="9"/>
      <c r="B27" s="210" t="s">
        <v>61</v>
      </c>
      <c r="C27" s="212" t="s">
        <v>110</v>
      </c>
      <c r="D27" s="231"/>
      <c r="E27" s="231"/>
      <c r="F27" s="231"/>
      <c r="G27" s="231"/>
      <c r="H27" s="203"/>
    </row>
    <row r="28" spans="1:8" ht="15" thickBot="1" x14ac:dyDescent="0.35">
      <c r="A28" s="9"/>
      <c r="B28" s="211"/>
      <c r="C28" s="213"/>
      <c r="D28" s="231"/>
      <c r="E28" s="231"/>
      <c r="F28" s="231"/>
      <c r="G28" s="231"/>
      <c r="H28" s="203"/>
    </row>
    <row r="29" spans="1:8" x14ac:dyDescent="0.3">
      <c r="A29" s="9"/>
      <c r="B29" s="212" t="s">
        <v>62</v>
      </c>
      <c r="C29" s="213"/>
      <c r="D29" s="231"/>
      <c r="E29" s="231"/>
      <c r="F29" s="231"/>
      <c r="G29" s="231"/>
      <c r="H29" s="203"/>
    </row>
    <row r="30" spans="1:8" ht="15" thickBot="1" x14ac:dyDescent="0.35">
      <c r="A30" s="9"/>
      <c r="B30" s="214"/>
      <c r="C30" s="214"/>
      <c r="D30" s="231"/>
      <c r="E30" s="231"/>
      <c r="F30" s="231"/>
      <c r="G30" s="231"/>
      <c r="H30" s="203"/>
    </row>
    <row r="31" spans="1:8" ht="15" thickBot="1" x14ac:dyDescent="0.35">
      <c r="A31" s="9"/>
      <c r="B31" s="9"/>
      <c r="C31" s="10"/>
      <c r="D31" s="248"/>
      <c r="E31" s="231"/>
      <c r="F31" s="231"/>
      <c r="G31" s="231"/>
      <c r="H31" s="203"/>
    </row>
    <row r="32" spans="1:8" ht="15" thickBot="1" x14ac:dyDescent="0.35">
      <c r="A32" s="9"/>
      <c r="B32" s="9"/>
      <c r="C32" s="9"/>
      <c r="D32" s="249" t="s">
        <v>142</v>
      </c>
      <c r="E32" s="231"/>
      <c r="F32" s="231"/>
      <c r="G32" s="231"/>
      <c r="H32" s="203"/>
    </row>
    <row r="33" spans="1:8" x14ac:dyDescent="0.3">
      <c r="A33" s="9"/>
      <c r="B33" s="9"/>
      <c r="C33" s="212" t="s">
        <v>113</v>
      </c>
      <c r="D33" s="250"/>
      <c r="E33" s="231"/>
      <c r="F33" s="231"/>
      <c r="G33" s="231"/>
      <c r="H33" s="203"/>
    </row>
    <row r="34" spans="1:8" x14ac:dyDescent="0.3">
      <c r="A34" s="9"/>
      <c r="B34" s="9"/>
      <c r="C34" s="213"/>
      <c r="D34" s="250"/>
      <c r="E34" s="231"/>
      <c r="F34" s="231"/>
      <c r="G34" s="231"/>
      <c r="H34" s="203"/>
    </row>
    <row r="35" spans="1:8" x14ac:dyDescent="0.3">
      <c r="A35" s="9"/>
      <c r="B35" s="9"/>
      <c r="C35" s="213"/>
      <c r="D35" s="250"/>
      <c r="E35" s="231"/>
      <c r="F35" s="231"/>
      <c r="G35" s="231"/>
      <c r="H35" s="203"/>
    </row>
    <row r="36" spans="1:8" ht="15" thickBot="1" x14ac:dyDescent="0.35">
      <c r="A36" s="9"/>
      <c r="B36" s="9"/>
      <c r="C36" s="214"/>
      <c r="D36" s="250"/>
      <c r="E36" s="231"/>
      <c r="F36" s="231"/>
      <c r="G36" s="231"/>
      <c r="H36" s="203"/>
    </row>
    <row r="37" spans="1:8" x14ac:dyDescent="0.3">
      <c r="A37" s="9"/>
      <c r="B37" s="234" t="s">
        <v>108</v>
      </c>
      <c r="C37" s="236" t="s">
        <v>114</v>
      </c>
      <c r="D37" s="250"/>
      <c r="E37" s="231"/>
      <c r="F37" s="231"/>
      <c r="G37" s="231"/>
      <c r="H37" s="203"/>
    </row>
    <row r="38" spans="1:8" ht="15" thickBot="1" x14ac:dyDescent="0.35">
      <c r="A38" s="9"/>
      <c r="B38" s="235"/>
      <c r="C38" s="237"/>
      <c r="D38" s="250"/>
      <c r="E38" s="231"/>
      <c r="F38" s="231"/>
      <c r="G38" s="231"/>
      <c r="H38" s="203"/>
    </row>
    <row r="39" spans="1:8" x14ac:dyDescent="0.3">
      <c r="A39" s="9"/>
      <c r="B39" s="210" t="s">
        <v>107</v>
      </c>
      <c r="C39" s="237"/>
      <c r="D39" s="250"/>
      <c r="E39" s="231"/>
      <c r="F39" s="231"/>
      <c r="G39" s="231"/>
      <c r="H39" s="203"/>
    </row>
    <row r="40" spans="1:8" ht="15" thickBot="1" x14ac:dyDescent="0.35">
      <c r="A40" s="9"/>
      <c r="B40" s="211"/>
      <c r="C40" s="238"/>
      <c r="D40" s="250"/>
      <c r="E40" s="231"/>
      <c r="F40" s="231"/>
      <c r="G40" s="231"/>
      <c r="H40" s="203"/>
    </row>
    <row r="41" spans="1:8" x14ac:dyDescent="0.3">
      <c r="A41" s="9"/>
      <c r="B41" s="9"/>
      <c r="C41" s="9"/>
      <c r="D41" s="9"/>
      <c r="E41" s="9"/>
      <c r="F41" s="9"/>
      <c r="G41" s="9"/>
      <c r="H41" s="9"/>
    </row>
    <row r="42" spans="1:8" x14ac:dyDescent="0.3">
      <c r="A42" s="9"/>
      <c r="B42" s="9"/>
      <c r="C42" s="9"/>
      <c r="D42" s="9"/>
      <c r="E42" s="9"/>
      <c r="F42" s="9"/>
      <c r="G42" s="9"/>
      <c r="H42" s="9"/>
    </row>
    <row r="43" spans="1:8" x14ac:dyDescent="0.3">
      <c r="A43" s="9"/>
      <c r="B43" s="9"/>
      <c r="C43" s="9"/>
      <c r="D43" s="9"/>
      <c r="E43" s="9"/>
      <c r="F43" s="9"/>
      <c r="G43" s="9"/>
      <c r="H43" s="9"/>
    </row>
    <row r="44" spans="1:8" x14ac:dyDescent="0.3">
      <c r="A44" s="9"/>
      <c r="B44" s="9"/>
      <c r="C44" s="9"/>
      <c r="D44" s="9"/>
      <c r="E44" s="9"/>
      <c r="F44" s="9"/>
      <c r="G44" s="9"/>
      <c r="H44" s="9"/>
    </row>
    <row r="45" spans="1:8" x14ac:dyDescent="0.3">
      <c r="A45" s="9"/>
      <c r="B45" s="9"/>
      <c r="C45" s="9"/>
      <c r="D45" s="9"/>
      <c r="E45" s="9"/>
      <c r="F45" s="9"/>
      <c r="G45" s="9"/>
      <c r="H45" s="9"/>
    </row>
    <row r="46" spans="1:8" x14ac:dyDescent="0.3">
      <c r="A46" s="9"/>
      <c r="B46" s="9"/>
      <c r="C46" s="9"/>
      <c r="D46" s="9"/>
      <c r="E46" s="9"/>
      <c r="F46" s="9"/>
      <c r="G46" s="9"/>
      <c r="H46" s="9"/>
    </row>
    <row r="47" spans="1:8" x14ac:dyDescent="0.3">
      <c r="A47" s="9"/>
      <c r="B47" s="9"/>
      <c r="C47" s="9"/>
      <c r="D47" s="9"/>
      <c r="E47" s="9"/>
      <c r="F47" s="9"/>
      <c r="G47" s="9"/>
      <c r="H47" s="9"/>
    </row>
    <row r="48" spans="1:8" x14ac:dyDescent="0.3">
      <c r="A48" s="9"/>
      <c r="B48" s="9"/>
      <c r="C48" s="9"/>
      <c r="D48" s="9"/>
      <c r="E48" s="9"/>
      <c r="F48" s="9"/>
      <c r="G48" s="9"/>
      <c r="H48" s="9"/>
    </row>
    <row r="49" spans="1:8" x14ac:dyDescent="0.3">
      <c r="A49" s="9"/>
      <c r="B49" s="9"/>
      <c r="C49" s="9"/>
      <c r="D49" s="9"/>
      <c r="E49" s="9"/>
      <c r="F49" s="9"/>
      <c r="G49" s="9"/>
      <c r="H49" s="9"/>
    </row>
    <row r="50" spans="1:8" x14ac:dyDescent="0.3">
      <c r="A50" s="9"/>
      <c r="B50" s="9"/>
      <c r="C50" s="9"/>
      <c r="D50" s="9"/>
      <c r="E50" s="9"/>
      <c r="F50" s="9"/>
      <c r="G50" s="9"/>
      <c r="H50" s="9"/>
    </row>
    <row r="51" spans="1:8" x14ac:dyDescent="0.3">
      <c r="A51" s="9"/>
      <c r="B51" s="9"/>
      <c r="C51" s="9"/>
      <c r="D51" s="9"/>
      <c r="E51" s="9"/>
      <c r="F51" s="9"/>
      <c r="G51" s="9"/>
      <c r="H51" s="9"/>
    </row>
    <row r="52" spans="1:8" x14ac:dyDescent="0.3">
      <c r="A52" s="9"/>
      <c r="B52" s="9"/>
      <c r="C52" s="9"/>
      <c r="D52" s="9"/>
      <c r="E52" s="9"/>
      <c r="F52" s="9"/>
      <c r="G52" s="9"/>
      <c r="H52" s="9"/>
    </row>
    <row r="53" spans="1:8" x14ac:dyDescent="0.3">
      <c r="A53" s="9"/>
      <c r="B53" s="9"/>
      <c r="C53" s="9"/>
      <c r="D53" s="9"/>
      <c r="E53" s="9"/>
      <c r="F53" s="9"/>
      <c r="G53" s="9"/>
      <c r="H53" s="9"/>
    </row>
    <row r="54" spans="1:8" x14ac:dyDescent="0.3">
      <c r="A54" s="9"/>
      <c r="B54" s="9"/>
      <c r="C54" s="9"/>
      <c r="D54" s="9"/>
      <c r="E54" s="9"/>
      <c r="F54" s="9"/>
      <c r="G54" s="9"/>
      <c r="H54" s="9"/>
    </row>
    <row r="55" spans="1:8" x14ac:dyDescent="0.3">
      <c r="A55" s="9"/>
      <c r="B55" s="9"/>
      <c r="C55" s="9"/>
      <c r="D55" s="9"/>
      <c r="E55" s="9"/>
      <c r="F55" s="9"/>
      <c r="G55" s="9"/>
      <c r="H55" s="9"/>
    </row>
    <row r="56" spans="1:8" x14ac:dyDescent="0.3">
      <c r="A56" s="9"/>
      <c r="B56" s="9"/>
      <c r="C56" s="9"/>
      <c r="D56" s="9"/>
      <c r="E56" s="9"/>
      <c r="F56" s="9"/>
      <c r="G56" s="9"/>
      <c r="H56" s="9"/>
    </row>
    <row r="57" spans="1:8" x14ac:dyDescent="0.3">
      <c r="A57" s="9"/>
      <c r="B57" s="9"/>
      <c r="C57" s="9"/>
      <c r="D57" s="9"/>
      <c r="E57" s="9"/>
      <c r="F57" s="9"/>
      <c r="G57" s="9"/>
      <c r="H57" s="9"/>
    </row>
    <row r="58" spans="1:8" x14ac:dyDescent="0.3">
      <c r="A58" s="9"/>
      <c r="B58" s="9"/>
      <c r="C58" s="9"/>
      <c r="D58" s="9"/>
      <c r="E58" s="9"/>
      <c r="F58" s="9"/>
      <c r="G58" s="9"/>
      <c r="H58" s="9"/>
    </row>
    <row r="59" spans="1:8" x14ac:dyDescent="0.3">
      <c r="A59" s="9"/>
      <c r="B59" s="9"/>
      <c r="C59" s="9"/>
      <c r="D59" s="9"/>
      <c r="E59" s="9"/>
      <c r="F59" s="9"/>
      <c r="G59" s="9"/>
      <c r="H59" s="9"/>
    </row>
  </sheetData>
  <mergeCells count="33">
    <mergeCell ref="D32:D40"/>
    <mergeCell ref="B9:B10"/>
    <mergeCell ref="F3:F21"/>
    <mergeCell ref="F22:F40"/>
    <mergeCell ref="G3:G21"/>
    <mergeCell ref="G22:G40"/>
    <mergeCell ref="B37:B38"/>
    <mergeCell ref="C37:C40"/>
    <mergeCell ref="B39:B40"/>
    <mergeCell ref="C3:C6"/>
    <mergeCell ref="C7:C10"/>
    <mergeCell ref="D12:D20"/>
    <mergeCell ref="D3:D11"/>
    <mergeCell ref="E22:E40"/>
    <mergeCell ref="E3:E21"/>
    <mergeCell ref="C33:C36"/>
    <mergeCell ref="D23:D31"/>
    <mergeCell ref="H3:H21"/>
    <mergeCell ref="H22:H40"/>
    <mergeCell ref="B1:H1"/>
    <mergeCell ref="B23:B24"/>
    <mergeCell ref="C23:C26"/>
    <mergeCell ref="B25:B26"/>
    <mergeCell ref="B27:B28"/>
    <mergeCell ref="C27:C30"/>
    <mergeCell ref="B29:B30"/>
    <mergeCell ref="C13:C16"/>
    <mergeCell ref="B17:B18"/>
    <mergeCell ref="B19:B20"/>
    <mergeCell ref="C17:C20"/>
    <mergeCell ref="B3:B4"/>
    <mergeCell ref="B5:B6"/>
    <mergeCell ref="B7:B8"/>
  </mergeCells>
  <pageMargins left="0.7" right="0.7" top="0.75" bottom="0.75" header="0.3" footer="0.3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fmwc</vt:lpstr>
      <vt:lpstr>fmwc_w</vt:lpstr>
      <vt:lpstr>annex c</vt:lpstr>
      <vt:lpstr>mcws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Ceraso</dc:creator>
  <cp:lastModifiedBy>Nick Ceraso</cp:lastModifiedBy>
  <cp:lastPrinted>2026-06-23T23:47:31Z</cp:lastPrinted>
  <dcterms:created xsi:type="dcterms:W3CDTF">2026-06-08T16:13:22Z</dcterms:created>
  <dcterms:modified xsi:type="dcterms:W3CDTF">2026-06-23T23:47:37Z</dcterms:modified>
</cp:coreProperties>
</file>